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e\2026 Application\HSC (Ho Chi Minh City Securities Company)\"/>
    </mc:Choice>
  </mc:AlternateContent>
  <xr:revisionPtr revIDLastSave="0" documentId="13_ncr:1_{8149C8D4-DAA0-41A2-842C-CCC306412105}" xr6:coauthVersionLast="47" xr6:coauthVersionMax="47" xr10:uidLastSave="{00000000-0000-0000-0000-000000000000}"/>
  <bookViews>
    <workbookView xWindow="-110" yWindow="-110" windowWidth="19420" windowHeight="10300" firstSheet="1" activeTab="4" xr2:uid="{A5D0D661-0B27-4299-BB76-6C9E2128DADE}"/>
  </bookViews>
  <sheets>
    <sheet name="Overall" sheetId="7" r:id="rId1"/>
    <sheet name="Balance Sheet" sheetId="5" r:id="rId2"/>
    <sheet name="Income Statement" sheetId="4" r:id="rId3"/>
    <sheet name="Cashflow" sheetId="6" r:id="rId4"/>
    <sheet name="DCF Valuati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6" l="1"/>
  <c r="G24" i="6"/>
  <c r="G6" i="6"/>
  <c r="G10" i="6"/>
  <c r="G9" i="6"/>
  <c r="G22" i="6"/>
  <c r="G12" i="6"/>
  <c r="G14" i="6"/>
  <c r="G15" i="6"/>
  <c r="G16" i="6"/>
  <c r="F18" i="3"/>
  <c r="E18" i="3"/>
  <c r="D18" i="3"/>
  <c r="C18" i="3"/>
  <c r="C30" i="3" s="1"/>
  <c r="C29" i="3"/>
  <c r="C24" i="3"/>
  <c r="H6" i="3"/>
  <c r="I6" i="3" s="1"/>
  <c r="J6" i="3" s="1"/>
  <c r="D5" i="5"/>
  <c r="E25" i="6"/>
  <c r="D25" i="6"/>
  <c r="E24" i="6"/>
  <c r="D24" i="6"/>
  <c r="G23" i="6"/>
  <c r="E23" i="6"/>
  <c r="D23" i="6"/>
  <c r="E22" i="6"/>
  <c r="D22" i="6"/>
  <c r="G21" i="6"/>
  <c r="E21" i="6"/>
  <c r="D21" i="6"/>
  <c r="G20" i="6"/>
  <c r="F20" i="6"/>
  <c r="E20" i="6"/>
  <c r="D20" i="6"/>
  <c r="G19" i="6"/>
  <c r="E19" i="6"/>
  <c r="D19" i="6"/>
  <c r="G18" i="6"/>
  <c r="F18" i="6"/>
  <c r="E18" i="6"/>
  <c r="D18" i="6"/>
  <c r="G17" i="6"/>
  <c r="E17" i="6"/>
  <c r="D17" i="6"/>
  <c r="E16" i="6"/>
  <c r="D16" i="6"/>
  <c r="E15" i="6"/>
  <c r="D15" i="6"/>
  <c r="E14" i="6"/>
  <c r="D14" i="6"/>
  <c r="G13" i="6"/>
  <c r="F13" i="6"/>
  <c r="E13" i="6"/>
  <c r="D13" i="6"/>
  <c r="E12" i="6"/>
  <c r="D12" i="6"/>
  <c r="G11" i="6"/>
  <c r="E11" i="6"/>
  <c r="D11" i="6"/>
  <c r="E10" i="6"/>
  <c r="D10" i="6"/>
  <c r="E9" i="6"/>
  <c r="D9" i="6"/>
  <c r="E8" i="6"/>
  <c r="D8" i="6"/>
  <c r="G7" i="6"/>
  <c r="F7" i="6"/>
  <c r="E7" i="6"/>
  <c r="D7" i="6"/>
  <c r="E6" i="6"/>
  <c r="D6" i="6"/>
  <c r="G5" i="6"/>
  <c r="F5" i="6"/>
  <c r="E5" i="6"/>
  <c r="D5" i="6"/>
  <c r="F6" i="6"/>
  <c r="F8" i="6"/>
  <c r="F10" i="6"/>
  <c r="F9" i="6"/>
  <c r="F22" i="6"/>
  <c r="F11" i="6"/>
  <c r="F12" i="6"/>
  <c r="F14" i="6"/>
  <c r="F15" i="6"/>
  <c r="F16" i="6"/>
  <c r="F17" i="6"/>
  <c r="F21" i="6"/>
  <c r="F19" i="6"/>
  <c r="F23" i="6"/>
  <c r="F25" i="6"/>
  <c r="F24" i="6"/>
  <c r="G40" i="5"/>
  <c r="F40" i="5"/>
  <c r="E40" i="5"/>
  <c r="D40" i="5"/>
  <c r="G39" i="5"/>
  <c r="F39" i="5"/>
  <c r="E39" i="5"/>
  <c r="D39" i="5"/>
  <c r="G38" i="5"/>
  <c r="F38" i="5"/>
  <c r="E38" i="5"/>
  <c r="D38" i="5"/>
  <c r="G37" i="5"/>
  <c r="F37" i="5"/>
  <c r="E37" i="5"/>
  <c r="D37" i="5"/>
  <c r="G36" i="5"/>
  <c r="F36" i="5"/>
  <c r="E36" i="5"/>
  <c r="D36" i="5"/>
  <c r="G35" i="5"/>
  <c r="F35" i="5"/>
  <c r="E35" i="5"/>
  <c r="D35" i="5"/>
  <c r="G34" i="5"/>
  <c r="F34" i="5"/>
  <c r="E34" i="5"/>
  <c r="D34" i="5"/>
  <c r="G33" i="5"/>
  <c r="F33" i="5"/>
  <c r="E33" i="5"/>
  <c r="D33" i="5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G26" i="5"/>
  <c r="F26" i="5"/>
  <c r="E26" i="5"/>
  <c r="D26" i="5"/>
  <c r="G25" i="5"/>
  <c r="F25" i="5"/>
  <c r="E25" i="5"/>
  <c r="D25" i="5"/>
  <c r="G24" i="5"/>
  <c r="F24" i="5"/>
  <c r="E24" i="5"/>
  <c r="D24" i="5"/>
  <c r="G23" i="5"/>
  <c r="F23" i="5"/>
  <c r="E23" i="5"/>
  <c r="D23" i="5"/>
  <c r="G22" i="5"/>
  <c r="F22" i="5"/>
  <c r="E22" i="5"/>
  <c r="D22" i="5"/>
  <c r="G21" i="5"/>
  <c r="F21" i="5"/>
  <c r="E21" i="5"/>
  <c r="D21" i="5"/>
  <c r="G20" i="5"/>
  <c r="F20" i="5"/>
  <c r="E20" i="5"/>
  <c r="D20" i="5"/>
  <c r="G19" i="5"/>
  <c r="F19" i="5"/>
  <c r="E19" i="5"/>
  <c r="D19" i="5"/>
  <c r="G18" i="5"/>
  <c r="F18" i="5"/>
  <c r="E18" i="5"/>
  <c r="D18" i="5"/>
  <c r="G17" i="5"/>
  <c r="F17" i="5"/>
  <c r="E17" i="5"/>
  <c r="D17" i="5"/>
  <c r="G16" i="5"/>
  <c r="F16" i="5"/>
  <c r="E16" i="5"/>
  <c r="D16" i="5"/>
  <c r="G15" i="5"/>
  <c r="F15" i="5"/>
  <c r="E15" i="5"/>
  <c r="D15" i="5"/>
  <c r="G14" i="5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G10" i="5"/>
  <c r="F10" i="5"/>
  <c r="E10" i="5"/>
  <c r="D10" i="5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G5" i="5"/>
  <c r="F5" i="5"/>
  <c r="E5" i="5"/>
  <c r="D5" i="4"/>
  <c r="C6" i="3" s="1"/>
  <c r="G27" i="4"/>
  <c r="F27" i="4"/>
  <c r="E27" i="4"/>
  <c r="D27" i="4"/>
  <c r="G20" i="4"/>
  <c r="F20" i="4"/>
  <c r="E20" i="4"/>
  <c r="D20" i="4"/>
  <c r="G17" i="4"/>
  <c r="F17" i="4"/>
  <c r="E17" i="4"/>
  <c r="D17" i="4"/>
  <c r="G13" i="4"/>
  <c r="F13" i="4"/>
  <c r="E13" i="4"/>
  <c r="D13" i="4"/>
  <c r="G10" i="4"/>
  <c r="E10" i="4"/>
  <c r="F10" i="4"/>
  <c r="D10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G4" i="6" s="1"/>
  <c r="F9" i="3" s="1"/>
  <c r="G9" i="3" s="1"/>
  <c r="G4" i="3" s="1"/>
  <c r="F28" i="4"/>
  <c r="F4" i="6" s="1"/>
  <c r="E28" i="4"/>
  <c r="E4" i="6" s="1"/>
  <c r="D28" i="4"/>
  <c r="D4" i="6" s="1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19" i="4"/>
  <c r="F16" i="3" s="1"/>
  <c r="F19" i="4"/>
  <c r="E19" i="4"/>
  <c r="D19" i="4"/>
  <c r="G18" i="4"/>
  <c r="F13" i="3" s="1"/>
  <c r="F18" i="4"/>
  <c r="E13" i="3" s="1"/>
  <c r="E18" i="4"/>
  <c r="D13" i="3" s="1"/>
  <c r="D18" i="4"/>
  <c r="C13" i="3" s="1"/>
  <c r="G16" i="4"/>
  <c r="F16" i="4"/>
  <c r="E16" i="4"/>
  <c r="D16" i="4"/>
  <c r="G15" i="4"/>
  <c r="F15" i="4"/>
  <c r="E15" i="4"/>
  <c r="D15" i="4"/>
  <c r="G14" i="4"/>
  <c r="F14" i="4"/>
  <c r="E14" i="4"/>
  <c r="D14" i="4"/>
  <c r="G12" i="4"/>
  <c r="F12" i="4"/>
  <c r="E12" i="4"/>
  <c r="D12" i="4"/>
  <c r="G11" i="4"/>
  <c r="F11" i="4"/>
  <c r="E11" i="4"/>
  <c r="D11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4" i="3" l="1"/>
  <c r="C4" i="3"/>
  <c r="C5" i="3" s="1"/>
  <c r="E4" i="3"/>
  <c r="E5" i="3" s="1"/>
  <c r="E16" i="3"/>
  <c r="F6" i="3"/>
  <c r="G7" i="3" s="1"/>
  <c r="D16" i="3"/>
  <c r="F8" i="3"/>
  <c r="C16" i="3"/>
  <c r="C8" i="3"/>
  <c r="D8" i="3"/>
  <c r="E8" i="3"/>
  <c r="F14" i="3"/>
  <c r="F15" i="3" s="1"/>
  <c r="C9" i="3"/>
  <c r="E6" i="3"/>
  <c r="E9" i="3"/>
  <c r="D6" i="3"/>
  <c r="D7" i="3" s="1"/>
  <c r="D9" i="3"/>
  <c r="C14" i="3"/>
  <c r="C15" i="3" s="1"/>
  <c r="D14" i="3"/>
  <c r="D15" i="3" s="1"/>
  <c r="E14" i="3"/>
  <c r="E15" i="3" s="1"/>
  <c r="G8" i="6"/>
  <c r="F4" i="3"/>
  <c r="F5" i="3" s="1"/>
  <c r="C31" i="3"/>
  <c r="D30" i="3" s="1"/>
  <c r="H9" i="3"/>
  <c r="D5" i="3"/>
  <c r="F7" i="3" l="1"/>
  <c r="E7" i="3"/>
  <c r="D29" i="3"/>
  <c r="C17" i="3" s="1"/>
  <c r="C12" i="3" s="1"/>
  <c r="I9" i="3"/>
  <c r="J9" i="3" s="1"/>
  <c r="H4" i="3"/>
  <c r="K10" i="3" l="1"/>
  <c r="H10" i="3"/>
  <c r="H11" i="3" s="1"/>
  <c r="I10" i="3"/>
  <c r="J10" i="3"/>
  <c r="G10" i="3"/>
  <c r="G11" i="3" s="1"/>
  <c r="J4" i="3"/>
  <c r="K4" i="3" s="1"/>
  <c r="K9" i="3"/>
  <c r="I4" i="3"/>
  <c r="K11" i="3" l="1"/>
  <c r="I11" i="3"/>
  <c r="J11" i="3"/>
  <c r="C20" i="3" l="1"/>
  <c r="C22" i="3" s="1"/>
</calcChain>
</file>

<file path=xl/sharedStrings.xml><?xml version="1.0" encoding="utf-8"?>
<sst xmlns="http://schemas.openxmlformats.org/spreadsheetml/2006/main" count="367" uniqueCount="320">
  <si>
    <t>Mã số</t>
  </si>
  <si>
    <t>Chỉ tiêu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</si>
  <si>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</si>
  <si>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</si>
  <si>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</si>
  <si>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</si>
  <si>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Doanh thu hoạt động tài chính</t>
  </si>
  <si>
    <t>Chi phí tài chính</t>
  </si>
  <si>
    <t>- Trong đó: Chi phí lãi vay</t>
  </si>
  <si>
    <t>Phần lãi/(lỗ) trong công ty liên kết</t>
  </si>
  <si>
    <t>Chi phí bán hàng</t>
  </si>
  <si>
    <t>Chi phí quản lý doanh nghiệp</t>
  </si>
  <si>
    <t>Lợi nhuận thuần từ hoạt động kinh doanh</t>
  </si>
  <si>
    <t>Thu nhập khác</t>
  </si>
  <si>
    <t>Chi phí khác</t>
  </si>
  <si>
    <t>Lợi nhuận khác</t>
  </si>
  <si>
    <t>Tổng lợi nhuận kế toán trước thuế</t>
  </si>
  <si>
    <t>Chi phí thuế TNDN hiện hành</t>
  </si>
  <si>
    <t>Lợi nhuận sau thuế TNDN</t>
  </si>
  <si>
    <t>Chủ sở hữu của Tổng Công ty Khí Việt Nam - CTCP</t>
  </si>
  <si>
    <t>Cổ đông không kiểm soát</t>
  </si>
  <si>
    <t>Lãi cơ bản trên cổ phiếu</t>
  </si>
  <si>
    <t>Lãi suy giảm trên cổ phiếu</t>
  </si>
  <si>
    <t>Discounted Free Cash Flow Valuation</t>
  </si>
  <si>
    <t>Free Cash Flow</t>
  </si>
  <si>
    <t>Discount Factor</t>
  </si>
  <si>
    <t>PV of Future Cash Flow</t>
  </si>
  <si>
    <t>Required Return</t>
  </si>
  <si>
    <t>Perpetual Growth</t>
  </si>
  <si>
    <t>Today's Value</t>
  </si>
  <si>
    <t>Shares Out</t>
  </si>
  <si>
    <t>Fair Value of Equity</t>
  </si>
  <si>
    <t>Revenue</t>
  </si>
  <si>
    <t>Doanh thu</t>
  </si>
  <si>
    <t>Total Revenue</t>
  </si>
  <si>
    <t>Tổng doanh thu</t>
  </si>
  <si>
    <t>Cost of Revenue</t>
  </si>
  <si>
    <t>Giá vốn hàng bán</t>
  </si>
  <si>
    <t>Gross Profit</t>
  </si>
  <si>
    <t>Lợi nhuận gộp</t>
  </si>
  <si>
    <t>Operating Expenses</t>
  </si>
  <si>
    <t>Chi phí hoạt động</t>
  </si>
  <si>
    <t>Research Development</t>
  </si>
  <si>
    <t>Chi phí nghiên cứu và phát triển (R&amp;D)</t>
  </si>
  <si>
    <t>Selling General and Administrative</t>
  </si>
  <si>
    <t>Chi phí bán hàng và quản lý doanh nghiệp (SG&amp;A)</t>
  </si>
  <si>
    <t>Non Recurring</t>
  </si>
  <si>
    <t>Chi phí không thường xuyên</t>
  </si>
  <si>
    <t>Others</t>
  </si>
  <si>
    <t>Total Operating Expenses</t>
  </si>
  <si>
    <t>Tổng chi phí hoạt động</t>
  </si>
  <si>
    <t>Operating Income or Loss</t>
  </si>
  <si>
    <t>Lợi nhuận (lỗ) từ hoạt động kinh doanh</t>
  </si>
  <si>
    <t>Income from Continuing Operations</t>
  </si>
  <si>
    <t>Lợi nhuận từ hoạt động kinh doanh liên tục</t>
  </si>
  <si>
    <t>Total Other Income/Expenses Net</t>
  </si>
  <si>
    <t>Tổng thu nhập/(chi phí) khác (thuần)</t>
  </si>
  <si>
    <t>Earnings Before Interest and Taxes</t>
  </si>
  <si>
    <t>Lợi nhuận trước lãi vay và thuế (EBIT)</t>
  </si>
  <si>
    <t>Interest Expense</t>
  </si>
  <si>
    <t>Chi phí lãi vay</t>
  </si>
  <si>
    <t>Income Before Tax</t>
  </si>
  <si>
    <t>Lợi nhuận trước thuế</t>
  </si>
  <si>
    <t>Income Tax Expense</t>
  </si>
  <si>
    <t>Chi phí thuế thu nhập doanh nghiệp</t>
  </si>
  <si>
    <t>Minority Interest</t>
  </si>
  <si>
    <t>Lợi ích cổ đông không kiểm soát</t>
  </si>
  <si>
    <t>Net Income From Continuing Ops</t>
  </si>
  <si>
    <t>Lợi nhuận sau thuế từ hoạt động liên tục</t>
  </si>
  <si>
    <t>Non-recurring Events</t>
  </si>
  <si>
    <t>Các khoản mục không thường xuyên</t>
  </si>
  <si>
    <t>Discontinued Operations</t>
  </si>
  <si>
    <t>Hoạt động đã ngừng kinh doanh</t>
  </si>
  <si>
    <t>Extraordinary Items</t>
  </si>
  <si>
    <t>Các khoản mục bất thường</t>
  </si>
  <si>
    <t>Effect Of Accounting Changes</t>
  </si>
  <si>
    <t>Ảnh hưởng của thay đổi chính sách kế toán</t>
  </si>
  <si>
    <t>Other Items</t>
  </si>
  <si>
    <t>Các khoản mục khác</t>
  </si>
  <si>
    <t>Net Income</t>
  </si>
  <si>
    <t>Lợi nhuận sau thuế</t>
  </si>
  <si>
    <t>Preferred Stock And Other Adjustments</t>
  </si>
  <si>
    <t>Cổ tức cổ phiếu ưu đãi và các điều chỉnh khác</t>
  </si>
  <si>
    <t>Net Income Applicable To Common Shares</t>
  </si>
  <si>
    <t>Lợi nhuận phân bổ cho cổ đông phổ thông</t>
  </si>
  <si>
    <t>Effective Tax Rate</t>
  </si>
  <si>
    <t>Tỷ lệ thuế hiệu dụng</t>
  </si>
  <si>
    <t>Calculated Effective Tax Rate</t>
  </si>
  <si>
    <t>Tỷ lệ thuế hiệu dụng (tính toán)</t>
  </si>
  <si>
    <t>Income Statement</t>
  </si>
  <si>
    <t>Balance Sheet</t>
  </si>
  <si>
    <t>Current Assets</t>
  </si>
  <si>
    <t>Tài sản ngắn hạn</t>
  </si>
  <si>
    <t>Cash And Cash Equivalents</t>
  </si>
  <si>
    <t>Tiền và các khoản tương đương tiền</t>
  </si>
  <si>
    <t>Short Term Investments</t>
  </si>
  <si>
    <t>Đầu tư tài chính ngắn hạn</t>
  </si>
  <si>
    <t>Net Receivables</t>
  </si>
  <si>
    <t>Các khoản phải thu thuần</t>
  </si>
  <si>
    <t>Inventory</t>
  </si>
  <si>
    <t>Hàng tồn kho</t>
  </si>
  <si>
    <t>Other Current Assets</t>
  </si>
  <si>
    <t>Tài sản ngắn hạn khác</t>
  </si>
  <si>
    <t>Total Current Assets</t>
  </si>
  <si>
    <t>Tổng tài sản ngắn hạn</t>
  </si>
  <si>
    <t>Long Term Investments</t>
  </si>
  <si>
    <t>Đầu tư tài chính dài hạn</t>
  </si>
  <si>
    <t>Property Plant and Equipment</t>
  </si>
  <si>
    <t>Tài sản cố định hữu hình (PPE)</t>
  </si>
  <si>
    <t>Goodwill</t>
  </si>
  <si>
    <t>Lợi thế thương mại</t>
  </si>
  <si>
    <t>Intangible Assets</t>
  </si>
  <si>
    <t>Tài sản vô hình</t>
  </si>
  <si>
    <t>Accumulated Amortization</t>
  </si>
  <si>
    <t>Hao mòn lũy kế / Khấu hao lũy kế TSCĐ vô hình</t>
  </si>
  <si>
    <t>Other Assets</t>
  </si>
  <si>
    <t>Tài sản khác</t>
  </si>
  <si>
    <t>Deferred Long Term Asset Charges</t>
  </si>
  <si>
    <t>Chi phí trả trước dài hạn</t>
  </si>
  <si>
    <t>Total Assets</t>
  </si>
  <si>
    <t>Tổng tài sản</t>
  </si>
  <si>
    <t>Current Liabilities</t>
  </si>
  <si>
    <t>Nợ phải trả ngắn hạn</t>
  </si>
  <si>
    <t>Accounts Payable</t>
  </si>
  <si>
    <t>Phải trả người bán</t>
  </si>
  <si>
    <t>Short/Current Long Term Debt</t>
  </si>
  <si>
    <t>Nợ dài hạn đến hạn trả (ngắn hạn)</t>
  </si>
  <si>
    <t>Other Current Liabilities</t>
  </si>
  <si>
    <t>Nợ ngắn hạn khác</t>
  </si>
  <si>
    <t>Total Current Liabilities</t>
  </si>
  <si>
    <t>Tổng nợ phải trả ngắn hạn</t>
  </si>
  <si>
    <t>Long Term Debt</t>
  </si>
  <si>
    <t>Nợ dài hạn</t>
  </si>
  <si>
    <t>Other Liabilities</t>
  </si>
  <si>
    <t>Nợ phải trả khác</t>
  </si>
  <si>
    <t>Deferred Long Term Liability Charges</t>
  </si>
  <si>
    <t>Thuế và chi phí phải trả hoãn lại dài hạn</t>
  </si>
  <si>
    <t>Negative Goodwill</t>
  </si>
  <si>
    <t>Lợi thế thương mại âm</t>
  </si>
  <si>
    <t>Total Liabilities</t>
  </si>
  <si>
    <t>Tổng nợ phải trả</t>
  </si>
  <si>
    <t>Stockholders' Equity</t>
  </si>
  <si>
    <t>Vốn chủ sở hữu</t>
  </si>
  <si>
    <t>Misc. Stocks Options Warrants</t>
  </si>
  <si>
    <t>Quyền chọn cổ phiếu và chứng quyền</t>
  </si>
  <si>
    <t>Redeemable Preferred Stock</t>
  </si>
  <si>
    <t>Cổ phiếu ưu đãi có thể mua lại</t>
  </si>
  <si>
    <t>Preferred Stock</t>
  </si>
  <si>
    <t>Cổ phiếu ưu đãi</t>
  </si>
  <si>
    <t>Common Stock</t>
  </si>
  <si>
    <t>Cổ phiếu phổ thông</t>
  </si>
  <si>
    <t>Retained Earnings</t>
  </si>
  <si>
    <t>Lợi nhuận sau thuế chưa phân phối</t>
  </si>
  <si>
    <t>Treasury Stock</t>
  </si>
  <si>
    <t>Cổ phiếu quỹ</t>
  </si>
  <si>
    <t>Capital Surplus</t>
  </si>
  <si>
    <t>Thặng dư vốn cổ phần</t>
  </si>
  <si>
    <t>Other Stockholder Equity</t>
  </si>
  <si>
    <t>Vốn chủ sở hữu khác</t>
  </si>
  <si>
    <t>Total Stockholder Equity</t>
  </si>
  <si>
    <t>Tổng vốn chủ sở hữu</t>
  </si>
  <si>
    <t>Net Tangible Assets</t>
  </si>
  <si>
    <t>Tài sản hữu hình thuần</t>
  </si>
  <si>
    <t>Lưu chuyển tiền từ hoạt động kinh doanh</t>
  </si>
  <si>
    <t>Depreciation</t>
  </si>
  <si>
    <t>Khấu hao</t>
  </si>
  <si>
    <t>Adjustments To Net Income</t>
  </si>
  <si>
    <t>Điều chỉnh lợi nhuận</t>
  </si>
  <si>
    <t>Changes In Accounts Receivables</t>
  </si>
  <si>
    <t>Biến động các khoản phải thu</t>
  </si>
  <si>
    <t>Changes In Liabilities</t>
  </si>
  <si>
    <t>Biến động các khoản phải trả</t>
  </si>
  <si>
    <t>Changes In Inventories</t>
  </si>
  <si>
    <t>Biến động hàng tồn kho</t>
  </si>
  <si>
    <t>Changes In Other Operating Activities</t>
  </si>
  <si>
    <t>Biến động các khoản mục hoạt động khác</t>
  </si>
  <si>
    <t>Total Cash Flow From Operating Activities</t>
  </si>
  <si>
    <t>Lưu chuyển tiền thuần từ hoạt động kinh doanh</t>
  </si>
  <si>
    <t>Investing Activities, Cash Flows Provided By</t>
  </si>
  <si>
    <t>Lưu chuyển tiền từ hoạt động đầu tư</t>
  </si>
  <si>
    <t>Capital Expenditures</t>
  </si>
  <si>
    <t>Chi đầu tư tài sản cố định (CAPEX)</t>
  </si>
  <si>
    <t>Investments</t>
  </si>
  <si>
    <t>Đầu tư tài chính</t>
  </si>
  <si>
    <t>Other Cash flows from Investing Activities</t>
  </si>
  <si>
    <t>Lưu chuyển tiền khác từ hoạt động đầu tư</t>
  </si>
  <si>
    <t>Total Cash Flows From Investing Activities</t>
  </si>
  <si>
    <t>Lưu chuyển tiền thuần từ hoạt động đầu tư</t>
  </si>
  <si>
    <t>Financing Activities, Cash Flows Provided By</t>
  </si>
  <si>
    <t>Lưu chuyển tiền từ hoạt động tài chính</t>
  </si>
  <si>
    <t>Dividends Paid</t>
  </si>
  <si>
    <t>Cổ tức đã trả</t>
  </si>
  <si>
    <t>Sale Purchase of Stock</t>
  </si>
  <si>
    <t>Mua/bán cổ phiếu</t>
  </si>
  <si>
    <t>Net Borrowings</t>
  </si>
  <si>
    <t>Vay nợ ròng</t>
  </si>
  <si>
    <t>Other Cash Flows from Financing Activities</t>
  </si>
  <si>
    <t>Lưu chuyển tiền khác từ hoạt động tài chính</t>
  </si>
  <si>
    <t>Total Cash Flows From Financing Activities</t>
  </si>
  <si>
    <t>Lưu chuyển tiền thuần từ hoạt động tài chính</t>
  </si>
  <si>
    <t>Effect Of Exchange Rate Changes</t>
  </si>
  <si>
    <t>Ảnh hưởng của chênh lệch tỷ giá</t>
  </si>
  <si>
    <t>Change In Cash and Cash Equivalents</t>
  </si>
  <si>
    <t>Tăng/(giảm) tiền và tương đương tiền</t>
  </si>
  <si>
    <t>Cashflow</t>
  </si>
  <si>
    <t>Operating Activities, Cash Flows Provided By or Used In</t>
  </si>
  <si>
    <t>TÀI SẢN NGẮN HẠN</t>
  </si>
  <si>
    <t>Tiền</t>
  </si>
  <si>
    <t>Các khoản tương đương tiền</t>
  </si>
  <si>
    <t>Khoản đầu tư tài chính ngắn hạn</t>
  </si>
  <si>
    <t>Đầu tư nắm giữ đến ngày đáo hạn</t>
  </si>
  <si>
    <t>Các khoản phải thu ngắn hạn</t>
  </si>
  <si>
    <t>Phải thu ngắn hạn của khách hàng</t>
  </si>
  <si>
    <t>Trả trước cho người bán ngắn hạn</t>
  </si>
  <si>
    <t>Phải thu ngắn hạn khác</t>
  </si>
  <si>
    <t>Dự phòng phải thu ngắn hạn khó đòi</t>
  </si>
  <si>
    <t>Tài sản thiếu chờ xử lý</t>
  </si>
  <si>
    <t>-</t>
  </si>
  <si>
    <t>Dự phòng giảm giá hàng tồn kho</t>
  </si>
  <si>
    <t>Chi phí trả trước ngắn hạn</t>
  </si>
  <si>
    <t>Thuế GTGT được khấu trừ</t>
  </si>
  <si>
    <t>Thuế và các khoản phải thu Nhà nước</t>
  </si>
  <si>
    <t>TÀI SẢN DÀI HẠN</t>
  </si>
  <si>
    <t>Các khoản phải thu dài hạn</t>
  </si>
  <si>
    <t>Trả trước cho người bán dài hạn</t>
  </si>
  <si>
    <t>Phải thu dài hạn khác</t>
  </si>
  <si>
    <t>Tài sản cố định</t>
  </si>
  <si>
    <t>TSCĐ hữu hình</t>
  </si>
  <si>
    <t>Nguyên giá</t>
  </si>
  <si>
    <t>Giá trị khấu hao lũy kế</t>
  </si>
  <si>
    <t>TSCĐ vô hình</t>
  </si>
  <si>
    <t>Bất động sản đầu tư</t>
  </si>
  <si>
    <t>Tài sản dở dang dài hạn</t>
  </si>
  <si>
    <t>Đầu tư vào công ty liên kết</t>
  </si>
  <si>
    <t>Đầu tư góp vốn vào đơn vị khác</t>
  </si>
  <si>
    <t>Dự phòng đầu tư tài chính dài hạn</t>
  </si>
  <si>
    <t>Tài sản dài hạn khác</t>
  </si>
  <si>
    <t>Tài sản thuế TNDN hoãn lại</t>
  </si>
  <si>
    <t>TỔNG TÀI SẢN</t>
  </si>
  <si>
    <t>NỢ PHẢI TRẢ</t>
  </si>
  <si>
    <t>Nợ ngắn hạn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</si>
  <si>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</si>
  <si>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</si>
  <si>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</si>
  <si>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</si>
  <si>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Chi phí phải trả ngắn hạn</t>
  </si>
  <si>
    <t>Doanh thu chưa thực hiện ngắn hạn</t>
  </si>
  <si>
    <t>Phải trả ngắn hạn khác</t>
  </si>
  <si>
    <t>Vay ngắn hạn</t>
  </si>
  <si>
    <t>Quỹ khen thưởng, phúc lợi</t>
  </si>
  <si>
    <t>Doanh thu chưa thực hiện dài hạn</t>
  </si>
  <si>
    <t>Phải trả dài hạn khác</t>
  </si>
  <si>
    <t>Vay dài hạn</t>
  </si>
  <si>
    <t>Thuế TNDN hoãn lại phải trả</t>
  </si>
  <si>
    <t>Dự phòng phải trả dài hạn</t>
  </si>
  <si>
    <t>Quỹ phát triển khoa học và công nghệ</t>
  </si>
  <si>
    <t>VỐN CHỦ SỞ HỮU</t>
  </si>
  <si>
    <t>Vốn góp của chủ sở hữu</t>
  </si>
  <si>
    <t>411a</t>
  </si>
  <si>
    <t>Cổ phiếu phổ thông có quyền biểu quyết</t>
  </si>
  <si>
    <t>Vốn khác của chủ sở hữu</t>
  </si>
  <si>
    <t>Quỹ đầu tư phát triển</t>
  </si>
  <si>
    <t>Quỹ khác thuộc vốn chủ sở hữu</t>
  </si>
  <si>
    <t>LNST chưa phân phối</t>
  </si>
  <si>
    <t>421a</t>
  </si>
  <si>
    <t>LNST chưa phân phối lũy kế</t>
  </si>
  <si>
    <t>421b</t>
  </si>
  <si>
    <t>LNST chưa phân phối năm nay</t>
  </si>
  <si>
    <t>TỔNG NGUỒN VỐN</t>
  </si>
  <si>
    <t>Chi phí thuế TNDN hoãn lại</t>
  </si>
  <si>
    <t>25 + 26 + 22</t>
  </si>
  <si>
    <t>30 + 23</t>
  </si>
  <si>
    <t>51 + 52</t>
  </si>
  <si>
    <t>31 + 32</t>
  </si>
  <si>
    <t>Các khoản giảm trừ doanh thu</t>
  </si>
  <si>
    <t>Tất cả số liệu tính theo đồng</t>
  </si>
  <si>
    <t>Chi phí xây dựng cơ bản dở dang</t>
  </si>
  <si>
    <t>Lợi nhuận kế toán trước thuế</t>
  </si>
  <si>
    <t>Khấu hao TSCĐ và BĐS đầu tư</t>
  </si>
  <si>
    <t>Các khoản dự phòng</t>
  </si>
  <si>
    <t>Lãi/(lỗ) chênh lệch tỷ giá hối đoái chưa thực hiện</t>
  </si>
  <si>
    <t>Lãi từ hoạt động đầu tư</t>
  </si>
  <si>
    <t>Lợi nhuận trước thay đổi vốn lưu động</t>
  </si>
  <si>
    <t>Giảm/(tăng) các khoản phải thu</t>
  </si>
  <si>
    <t>(Tăng)/giảm hàng tồn kho</t>
  </si>
  <si>
    <t>(Giảm)/tăng các khoản phải trả</t>
  </si>
  <si>
    <t>Tăng chi phí trả trước</t>
  </si>
  <si>
    <t>Tiền lãi vay đã trả</t>
  </si>
  <si>
    <t>Thuế TNDN đã nộp</t>
  </si>
  <si>
    <t>Tiền chi khác từ hoạt động kinh doanh</t>
  </si>
  <si>
    <t>Tiền chi để mua sắm, xây dựng TSCĐ và TS dài hạn khác</t>
  </si>
  <si>
    <t>Tiền thu từ thanh lý TSCĐ</t>
  </si>
  <si>
    <t>Tiền chi gửi ngân hàng có kỳ hạn</t>
  </si>
  <si>
    <t>Tiền thu hồi tiền gửi có kỳ hạn</t>
  </si>
  <si>
    <t>Tiền thu lãi tiền gửi, cổ tức và lợi nhuận được chia</t>
  </si>
  <si>
    <t>Tiền thu từ nhận vốn góp của chủ sở hữu</t>
  </si>
  <si>
    <t>Tiền thu từ vay</t>
  </si>
  <si>
    <t>Tiền chi trả nợ gốc vay</t>
  </si>
  <si>
    <t>Tiền chi trả cổ tức cho cổ đông</t>
  </si>
  <si>
    <t>Lưu chuyển tiền thuần trong năm</t>
  </si>
  <si>
    <t>Tiền và tương đương tiền đầu năm</t>
  </si>
  <si>
    <t>Ảnh hưởng của thay đổi tỷ giá hối đoái quy đổi ngoại tệ</t>
  </si>
  <si>
    <t>Tiền và tương đương tiền cuối năm</t>
  </si>
  <si>
    <t>FCFE/Net Income</t>
  </si>
  <si>
    <t>Revenue Growth Rate</t>
  </si>
  <si>
    <t>Net Income Margin = Net Income/ Revenue</t>
  </si>
  <si>
    <t>Debt</t>
  </si>
  <si>
    <t>Effective Tax Rate =  
Income Tax Expense/ Income Before Tax</t>
  </si>
  <si>
    <t>CAPM</t>
  </si>
  <si>
    <t xml:space="preserve">WACC </t>
  </si>
  <si>
    <t>Rf</t>
  </si>
  <si>
    <t>Beta</t>
  </si>
  <si>
    <t>Rm</t>
  </si>
  <si>
    <t>________________________________________________________________________________</t>
  </si>
  <si>
    <t>Market capital</t>
  </si>
  <si>
    <t>Total debt</t>
  </si>
  <si>
    <t>Total Debt</t>
  </si>
  <si>
    <t>Terminal value</t>
  </si>
  <si>
    <t>All numbers in dong</t>
  </si>
  <si>
    <t>25+26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</si>
</sst>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i/>
      <sz val="10"/>
      <color theme="1"/>
      <name val="Cambria"/>
      <family val="1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mbria"/>
      <family val="1"/>
    </font>
    <font>
      <b/>
      <sz val="15"/>
      <color theme="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164" fontId="3" fillId="0" borderId="0" xfId="1" applyNumberFormat="1" applyFont="1"/>
    <xf numFmtId="0" fontId="3" fillId="0" borderId="0" xfId="0" quotePrefix="1" applyFont="1"/>
    <xf numFmtId="0" fontId="0" fillId="0" borderId="0" xfId="0" quotePrefix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/>
    <xf numFmtId="164" fontId="0" fillId="0" borderId="0" xfId="1" applyNumberFormat="1" applyFont="1"/>
    <xf numFmtId="164" fontId="0" fillId="0" borderId="1" xfId="1" applyNumberFormat="1" applyFont="1" applyBorder="1"/>
    <xf numFmtId="1" fontId="3" fillId="0" borderId="1" xfId="1" applyNumberFormat="1" applyFont="1" applyBorder="1"/>
    <xf numFmtId="164" fontId="1" fillId="0" borderId="0" xfId="1" applyNumberFormat="1" applyFont="1"/>
    <xf numFmtId="0" fontId="4" fillId="0" borderId="0" xfId="0" applyFont="1"/>
    <xf numFmtId="0" fontId="5" fillId="0" borderId="0" xfId="0" applyFont="1"/>
    <xf numFmtId="164" fontId="4" fillId="0" borderId="0" xfId="1" applyNumberFormat="1" applyFont="1"/>
    <xf numFmtId="0" fontId="6" fillId="3" borderId="0" xfId="0" applyFont="1" applyFill="1"/>
    <xf numFmtId="9" fontId="6" fillId="3" borderId="0" xfId="2" applyFont="1" applyFill="1"/>
    <xf numFmtId="164" fontId="6" fillId="3" borderId="0" xfId="1" applyNumberFormat="1" applyFont="1" applyFill="1"/>
    <xf numFmtId="10" fontId="6" fillId="3" borderId="0" xfId="2" applyNumberFormat="1" applyFont="1" applyFill="1"/>
    <xf numFmtId="164" fontId="6" fillId="6" borderId="0" xfId="1" applyNumberFormat="1" applyFont="1" applyFill="1"/>
    <xf numFmtId="164" fontId="6" fillId="6" borderId="0" xfId="0" applyNumberFormat="1" applyFont="1" applyFill="1"/>
    <xf numFmtId="10" fontId="6" fillId="6" borderId="0" xfId="2" applyNumberFormat="1" applyFont="1" applyFill="1"/>
    <xf numFmtId="9" fontId="6" fillId="6" borderId="0" xfId="2" applyFont="1" applyFill="1"/>
    <xf numFmtId="164" fontId="4" fillId="0" borderId="0" xfId="0" applyNumberFormat="1" applyFont="1"/>
    <xf numFmtId="10" fontId="5" fillId="0" borderId="0" xfId="0" applyNumberFormat="1" applyFont="1"/>
    <xf numFmtId="0" fontId="5" fillId="0" borderId="0" xfId="0" applyFont="1" applyAlignment="1">
      <alignment horizontal="right"/>
    </xf>
    <xf numFmtId="10" fontId="4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9" fontId="5" fillId="0" borderId="0" xfId="2" applyFont="1" applyAlignment="1">
      <alignment horizontal="left"/>
    </xf>
    <xf numFmtId="3" fontId="5" fillId="0" borderId="2" xfId="0" applyNumberFormat="1" applyFont="1" applyBorder="1"/>
    <xf numFmtId="164" fontId="5" fillId="0" borderId="2" xfId="1" applyNumberFormat="1" applyFont="1" applyBorder="1"/>
    <xf numFmtId="165" fontId="5" fillId="0" borderId="0" xfId="0" applyNumberFormat="1" applyFont="1"/>
    <xf numFmtId="0" fontId="4" fillId="0" borderId="0" xfId="0" applyFont="1" applyAlignment="1">
      <alignment horizontal="center"/>
    </xf>
    <xf numFmtId="3" fontId="0" fillId="3" borderId="0" xfId="0" applyNumberFormat="1" applyFill="1"/>
    <xf numFmtId="3" fontId="0" fillId="4" borderId="0" xfId="0" applyNumberFormat="1" applyFill="1"/>
    <xf numFmtId="0" fontId="0" fillId="7" borderId="0" xfId="0" applyFill="1"/>
    <xf numFmtId="0" fontId="3" fillId="7" borderId="0" xfId="0" applyFont="1" applyFill="1"/>
    <xf numFmtId="0" fontId="7" fillId="0" borderId="0" xfId="0" applyFont="1" applyAlignment="1">
      <alignment horizontal="centerContinuous"/>
    </xf>
    <xf numFmtId="0" fontId="3" fillId="8" borderId="0" xfId="0" applyFont="1" applyFill="1"/>
    <xf numFmtId="0" fontId="2" fillId="7" borderId="0" xfId="0" applyFont="1" applyFill="1"/>
    <xf numFmtId="164" fontId="0" fillId="7" borderId="0" xfId="1" applyNumberFormat="1" applyFont="1" applyFill="1"/>
    <xf numFmtId="164" fontId="0" fillId="3" borderId="0" xfId="1" applyNumberFormat="1" applyFont="1" applyFill="1"/>
    <xf numFmtId="0" fontId="0" fillId="0" borderId="0" xfId="0" applyFont="1"/>
    <xf numFmtId="164" fontId="1" fillId="3" borderId="0" xfId="1" applyNumberFormat="1" applyFont="1" applyFill="1"/>
    <xf numFmtId="164" fontId="1" fillId="4" borderId="0" xfId="1" applyNumberFormat="1" applyFont="1" applyFill="1"/>
    <xf numFmtId="164" fontId="1" fillId="5" borderId="0" xfId="1" applyNumberFormat="1" applyFont="1" applyFill="1"/>
    <xf numFmtId="0" fontId="8" fillId="0" borderId="0" xfId="0" applyFont="1"/>
    <xf numFmtId="0" fontId="6" fillId="7" borderId="0" xfId="0" applyFont="1" applyFill="1"/>
    <xf numFmtId="0" fontId="6" fillId="7" borderId="0" xfId="0" applyFont="1" applyFill="1" applyAlignment="1">
      <alignment wrapText="1"/>
    </xf>
    <xf numFmtId="0" fontId="9" fillId="9" borderId="0" xfId="0" applyFont="1" applyFill="1" applyAlignment="1">
      <alignment horizontal="center"/>
    </xf>
    <xf numFmtId="0" fontId="10" fillId="9" borderId="0" xfId="0" applyFont="1" applyFill="1" applyAlignment="1">
      <alignment horizontal="left"/>
    </xf>
    <xf numFmtId="0" fontId="5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9" fontId="6" fillId="4" borderId="0" xfId="2" applyFont="1" applyFill="1"/>
    <xf numFmtId="0" fontId="6" fillId="4" borderId="0" xfId="0" applyFont="1" applyFill="1"/>
    <xf numFmtId="10" fontId="6" fillId="4" borderId="0" xfId="2" applyNumberFormat="1" applyFont="1" applyFill="1"/>
    <xf numFmtId="164" fontId="6" fillId="4" borderId="0" xfId="1" applyNumberFormat="1" applyFont="1" applyFill="1"/>
    <xf numFmtId="6" fontId="4" fillId="7" borderId="0" xfId="0" applyNumberFormat="1" applyFont="1" applyFill="1" applyAlignment="1">
      <alignment horizontal="center"/>
    </xf>
    <xf numFmtId="8" fontId="4" fillId="7" borderId="0" xfId="0" applyNumberFormat="1" applyFont="1" applyFill="1"/>
    <xf numFmtId="165" fontId="4" fillId="0" borderId="0" xfId="0" applyNumberFormat="1" applyFont="1"/>
    <xf numFmtId="3" fontId="4" fillId="0" borderId="0" xfId="0" applyNumberFormat="1" applyFont="1"/>
    <xf numFmtId="43" fontId="4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B9F8-BA9C-4A8D-9A39-C29E67D9910F}">
  <dimension ref="A1:AC137"/>
  <sheetViews>
    <sheetView showGridLines="0" zoomScale="85" zoomScaleNormal="85" workbookViewId="0">
      <selection activeCell="D143" sqref="D143"/>
    </sheetView>
  </sheetViews>
  <sheetFormatPr defaultRowHeight="14.5" x14ac:dyDescent="0.35"/>
  <cols>
    <col min="1" max="1" width="7" bestFit="1" customWidth="1"/>
    <col min="2" max="2" width="45.453125" bestFit="1" customWidth="1"/>
    <col min="3" max="6" width="22.7265625" bestFit="1" customWidth="1"/>
    <col min="7" max="7" width="5.6328125" bestFit="1" customWidth="1"/>
    <col min="8" max="8" width="5.54296875" bestFit="1" customWidth="1"/>
    <col min="9" max="9" width="45.453125" bestFit="1" customWidth="1"/>
    <col min="10" max="10" width="10.7265625" bestFit="1" customWidth="1"/>
    <col min="11" max="12" width="18.54296875" bestFit="1" customWidth="1"/>
    <col min="13" max="14" width="5.54296875" bestFit="1" customWidth="1"/>
    <col min="15" max="15" width="43.08984375" bestFit="1" customWidth="1"/>
    <col min="16" max="16" width="10.7265625" bestFit="1" customWidth="1"/>
    <col min="17" max="18" width="18.54296875" bestFit="1" customWidth="1"/>
    <col min="19" max="19" width="5.6328125" bestFit="1" customWidth="1"/>
    <col min="20" max="20" width="5.54296875" bestFit="1" customWidth="1"/>
    <col min="21" max="21" width="43.08984375" bestFit="1" customWidth="1"/>
    <col min="22" max="22" width="10.7265625" bestFit="1" customWidth="1"/>
    <col min="23" max="24" width="18.54296875" bestFit="1" customWidth="1"/>
    <col min="25" max="25" width="7.7265625" customWidth="1"/>
    <col min="26" max="26" width="5.6328125" bestFit="1" customWidth="1"/>
    <col min="27" max="27" width="33.7265625" bestFit="1" customWidth="1"/>
    <col min="28" max="29" width="18.90625" bestFit="1" customWidth="1"/>
  </cols>
  <sheetData>
    <row r="1" spans="1:6" x14ac:dyDescent="0.35">
      <c r="A1" s="2" t="s">
        <v>90</v>
      </c>
    </row>
    <row r="3" spans="1:6" x14ac:dyDescent="0.35">
      <c r="A3" s="17" t="s">
        <v>0</v>
      </c>
      <c r="B3" s="17" t="s">
        <v>1</v>
      </c>
      <c r="C3" s="18">
        <v>2022</v>
      </c>
      <c r="D3" s="18">
        <v>2023</v>
      </c>
      <c r="E3" s="18">
        <v>2024</v>
      </c>
      <c r="F3" s="18">
        <v>2025</v>
      </c>
    </row>
    <row r="4" spans="1:6" x14ac:dyDescent="0.35">
      <c r="A4" s="17">
        <v>100</v>
      </c>
      <c r="B4" s="17" t="s">
        <v>206</v>
      </c>
      <c r="C4" s="17">
        <v>55651707958020</v>
      </c>
      <c r="D4" s="17">
        <v>62217752152930</v>
      </c>
      <c r="E4" s="17">
        <v>57290495430038</v>
      </c>
      <c r="F4" s="17">
        <v>69902465635326</v>
      </c>
    </row>
    <row r="5" spans="1:6" x14ac:dyDescent="0.35">
      <c r="A5" s="17">
        <v>110</v>
      </c>
      <c r="B5" s="17" t="s">
        <v>94</v>
      </c>
      <c r="C5" s="17">
        <v>10549337638537</v>
      </c>
      <c r="D5" s="17">
        <v>5668895193049</v>
      </c>
      <c r="E5" s="17">
        <v>5567983431468</v>
      </c>
      <c r="F5" s="17">
        <v>6876468282085</v>
      </c>
    </row>
    <row r="6" spans="1:6" x14ac:dyDescent="0.35">
      <c r="A6" s="17">
        <v>111</v>
      </c>
      <c r="B6" s="17" t="s">
        <v>207</v>
      </c>
      <c r="C6" s="17">
        <v>1318137638537</v>
      </c>
      <c r="D6" s="17">
        <v>1156470360119</v>
      </c>
      <c r="E6" s="17">
        <v>1248083431468</v>
      </c>
      <c r="F6" s="17">
        <v>913368282085</v>
      </c>
    </row>
    <row r="7" spans="1:6" x14ac:dyDescent="0.35">
      <c r="A7" s="17">
        <v>112</v>
      </c>
      <c r="B7" s="17" t="s">
        <v>208</v>
      </c>
      <c r="C7" s="17">
        <v>9231200000000</v>
      </c>
      <c r="D7" s="17">
        <v>4512424832930</v>
      </c>
      <c r="E7" s="17">
        <v>4319900000000</v>
      </c>
      <c r="F7" s="17">
        <v>5963100000000</v>
      </c>
    </row>
    <row r="8" spans="1:6" x14ac:dyDescent="0.35">
      <c r="A8" s="17">
        <v>120</v>
      </c>
      <c r="B8" s="17" t="s">
        <v>209</v>
      </c>
      <c r="C8" s="17">
        <v>23726498790237</v>
      </c>
      <c r="D8" s="17">
        <v>35084645516061</v>
      </c>
      <c r="E8" s="17">
        <v>27404031282702</v>
      </c>
      <c r="F8" s="17">
        <v>32890551400598</v>
      </c>
    </row>
    <row r="9" spans="1:6" x14ac:dyDescent="0.35">
      <c r="A9" s="17">
        <v>123</v>
      </c>
      <c r="B9" s="17" t="s">
        <v>210</v>
      </c>
      <c r="C9" s="17">
        <v>23726498790237</v>
      </c>
      <c r="D9" s="17">
        <v>35084645516061</v>
      </c>
      <c r="E9" s="17">
        <v>27404031282702</v>
      </c>
      <c r="F9" s="17">
        <v>32890551400598</v>
      </c>
    </row>
    <row r="10" spans="1:6" x14ac:dyDescent="0.35">
      <c r="A10" s="17">
        <v>130</v>
      </c>
      <c r="B10" s="17" t="s">
        <v>211</v>
      </c>
      <c r="C10" s="17">
        <v>16191131770955</v>
      </c>
      <c r="D10" s="17">
        <v>16865314290394</v>
      </c>
      <c r="E10" s="17">
        <v>19098417078475</v>
      </c>
      <c r="F10" s="17">
        <v>24881281586057</v>
      </c>
    </row>
    <row r="11" spans="1:6" x14ac:dyDescent="0.35">
      <c r="A11" s="17">
        <v>131</v>
      </c>
      <c r="B11" s="17" t="s">
        <v>212</v>
      </c>
      <c r="C11" s="17">
        <v>9210085888347</v>
      </c>
      <c r="D11" s="17">
        <v>12541281232880</v>
      </c>
      <c r="E11" s="17">
        <v>16744655874477</v>
      </c>
      <c r="F11" s="17">
        <v>20895137507650</v>
      </c>
    </row>
    <row r="12" spans="1:6" x14ac:dyDescent="0.35">
      <c r="A12" s="17">
        <v>132</v>
      </c>
      <c r="B12" s="17" t="s">
        <v>213</v>
      </c>
      <c r="C12" s="17">
        <v>223750541755</v>
      </c>
      <c r="D12" s="17">
        <v>264140292943</v>
      </c>
      <c r="E12" s="17">
        <v>375639323197</v>
      </c>
      <c r="F12" s="17">
        <v>116028764094</v>
      </c>
    </row>
    <row r="13" spans="1:6" x14ac:dyDescent="0.35">
      <c r="A13" s="17">
        <v>136</v>
      </c>
      <c r="B13" s="17" t="s">
        <v>214</v>
      </c>
      <c r="C13" s="17">
        <v>7492404206264</v>
      </c>
      <c r="D13" s="17">
        <v>4910282039910</v>
      </c>
      <c r="E13" s="17">
        <v>4746916152558</v>
      </c>
      <c r="F13" s="17">
        <v>6202355202674</v>
      </c>
    </row>
    <row r="14" spans="1:6" x14ac:dyDescent="0.35">
      <c r="A14" s="17">
        <v>137</v>
      </c>
      <c r="B14" s="17" t="s">
        <v>215</v>
      </c>
      <c r="C14" s="17">
        <v>-737052792533</v>
      </c>
      <c r="D14" s="17">
        <v>-850389329339</v>
      </c>
      <c r="E14" s="17">
        <v>-768794271757</v>
      </c>
      <c r="F14" s="17">
        <v>-2332239888361</v>
      </c>
    </row>
    <row r="15" spans="1:6" x14ac:dyDescent="0.35">
      <c r="A15" s="17">
        <v>139</v>
      </c>
      <c r="B15" s="17" t="s">
        <v>216</v>
      </c>
      <c r="C15" s="17">
        <v>1943927122</v>
      </c>
      <c r="D15" s="17" t="s">
        <v>217</v>
      </c>
      <c r="E15" s="17" t="s">
        <v>217</v>
      </c>
      <c r="F15" s="17"/>
    </row>
    <row r="16" spans="1:6" x14ac:dyDescent="0.35">
      <c r="A16" s="17">
        <v>140</v>
      </c>
      <c r="B16" s="17" t="s">
        <v>100</v>
      </c>
      <c r="C16" s="17">
        <v>4102441805643</v>
      </c>
      <c r="D16" s="17">
        <v>3944544425746</v>
      </c>
      <c r="E16" s="17">
        <v>4598950949693</v>
      </c>
      <c r="F16" s="17">
        <v>4398771281185</v>
      </c>
    </row>
    <row r="17" spans="1:6" x14ac:dyDescent="0.35">
      <c r="A17" s="17">
        <v>141</v>
      </c>
      <c r="B17" s="17" t="s">
        <v>100</v>
      </c>
      <c r="C17" s="17">
        <v>4185337349642</v>
      </c>
      <c r="D17" s="17">
        <v>4069874528094</v>
      </c>
      <c r="E17" s="17">
        <v>4732006717115</v>
      </c>
      <c r="F17" s="17">
        <v>4587524289258</v>
      </c>
    </row>
    <row r="18" spans="1:6" x14ac:dyDescent="0.35">
      <c r="A18" s="17">
        <v>149</v>
      </c>
      <c r="B18" s="17" t="s">
        <v>218</v>
      </c>
      <c r="C18" s="17">
        <v>-82895543999</v>
      </c>
      <c r="D18" s="17">
        <v>-125330102348</v>
      </c>
      <c r="E18" s="17">
        <v>-133055767522</v>
      </c>
      <c r="F18" s="17">
        <v>-188753008073</v>
      </c>
    </row>
    <row r="19" spans="1:6" x14ac:dyDescent="0.35">
      <c r="A19" s="17">
        <v>150</v>
      </c>
      <c r="B19" s="17" t="s">
        <v>102</v>
      </c>
      <c r="C19" s="17">
        <v>1082297952648</v>
      </c>
      <c r="D19" s="17">
        <v>654352727689</v>
      </c>
      <c r="E19" s="17">
        <v>531112687800</v>
      </c>
      <c r="F19" s="17">
        <v>855393085401</v>
      </c>
    </row>
    <row r="20" spans="1:6" x14ac:dyDescent="0.35">
      <c r="A20" s="17">
        <v>151</v>
      </c>
      <c r="B20" s="17" t="s">
        <v>219</v>
      </c>
      <c r="C20" s="17">
        <v>83670910085</v>
      </c>
      <c r="D20" s="17">
        <v>60533414354</v>
      </c>
      <c r="E20" s="17">
        <v>46023323039</v>
      </c>
      <c r="F20" s="17">
        <v>67084167708</v>
      </c>
    </row>
    <row r="21" spans="1:6" x14ac:dyDescent="0.35">
      <c r="A21" s="17">
        <v>152</v>
      </c>
      <c r="B21" s="17" t="s">
        <v>220</v>
      </c>
      <c r="C21" s="17">
        <v>949414975835</v>
      </c>
      <c r="D21" s="17">
        <v>547765432305</v>
      </c>
      <c r="E21" s="17">
        <v>447768536836</v>
      </c>
      <c r="F21" s="17">
        <v>678451569696</v>
      </c>
    </row>
    <row r="22" spans="1:6" x14ac:dyDescent="0.35">
      <c r="A22" s="17">
        <v>153</v>
      </c>
      <c r="B22" s="17" t="s">
        <v>221</v>
      </c>
      <c r="C22" s="17">
        <v>49212066728</v>
      </c>
      <c r="D22" s="17">
        <v>46053881030</v>
      </c>
      <c r="E22" s="17">
        <v>37320827925</v>
      </c>
      <c r="F22" s="17">
        <v>109857347997</v>
      </c>
    </row>
    <row r="23" spans="1:6" x14ac:dyDescent="0.35">
      <c r="A23" s="17">
        <v>200</v>
      </c>
      <c r="B23" s="17" t="s">
        <v>222</v>
      </c>
      <c r="C23" s="17">
        <v>27010944408343</v>
      </c>
      <c r="D23" s="17">
        <v>25536703177509</v>
      </c>
      <c r="E23" s="17">
        <v>24564385978120</v>
      </c>
      <c r="F23" s="17">
        <v>23665732474464</v>
      </c>
    </row>
    <row r="24" spans="1:6" x14ac:dyDescent="0.35">
      <c r="A24" s="17">
        <v>210</v>
      </c>
      <c r="B24" s="17" t="s">
        <v>223</v>
      </c>
      <c r="C24" s="17">
        <v>168689074161</v>
      </c>
      <c r="D24" s="17">
        <v>318104299805</v>
      </c>
      <c r="E24" s="17">
        <v>531249275544</v>
      </c>
      <c r="F24" s="17">
        <v>1123710993580</v>
      </c>
    </row>
    <row r="25" spans="1:6" x14ac:dyDescent="0.35">
      <c r="A25" s="17">
        <v>212</v>
      </c>
      <c r="B25" s="17" t="s">
        <v>224</v>
      </c>
      <c r="C25" s="17">
        <v>76326529951</v>
      </c>
      <c r="D25" s="17">
        <v>75492428136</v>
      </c>
      <c r="E25" s="17">
        <v>70495232935</v>
      </c>
      <c r="F25" s="17">
        <v>66106076719</v>
      </c>
    </row>
    <row r="26" spans="1:6" x14ac:dyDescent="0.35">
      <c r="A26" s="17">
        <v>216</v>
      </c>
      <c r="B26" s="17" t="s">
        <v>225</v>
      </c>
      <c r="C26" s="17">
        <v>92362544210</v>
      </c>
      <c r="D26" s="17">
        <v>242611871669</v>
      </c>
      <c r="E26" s="17">
        <v>460754042609</v>
      </c>
      <c r="F26" s="17">
        <v>1057604916861</v>
      </c>
    </row>
    <row r="27" spans="1:6" x14ac:dyDescent="0.35">
      <c r="A27" s="17">
        <v>220</v>
      </c>
      <c r="B27" s="17" t="s">
        <v>226</v>
      </c>
      <c r="C27" s="17">
        <v>16369664841026</v>
      </c>
      <c r="D27" s="17">
        <v>19532137951089</v>
      </c>
      <c r="E27" s="17">
        <v>18221636601588</v>
      </c>
      <c r="F27" s="17">
        <v>15950791009155</v>
      </c>
    </row>
    <row r="28" spans="1:6" x14ac:dyDescent="0.35">
      <c r="A28" s="17">
        <v>221</v>
      </c>
      <c r="B28" s="17" t="s">
        <v>227</v>
      </c>
      <c r="C28" s="17">
        <v>15975936459471</v>
      </c>
      <c r="D28" s="17">
        <v>19144905041836</v>
      </c>
      <c r="E28" s="17">
        <v>17852624248675</v>
      </c>
      <c r="F28" s="17">
        <v>15574140285441</v>
      </c>
    </row>
    <row r="29" spans="1:6" x14ac:dyDescent="0.35">
      <c r="A29" s="17">
        <v>222</v>
      </c>
      <c r="B29" s="17" t="s">
        <v>228</v>
      </c>
      <c r="C29" s="17">
        <v>57307438058633</v>
      </c>
      <c r="D29" s="17">
        <v>63430842474117</v>
      </c>
      <c r="E29" s="17">
        <v>64803330316602</v>
      </c>
      <c r="F29" s="17">
        <v>65102395899013</v>
      </c>
    </row>
    <row r="30" spans="1:6" x14ac:dyDescent="0.35">
      <c r="A30" s="17">
        <v>223</v>
      </c>
      <c r="B30" s="17" t="s">
        <v>229</v>
      </c>
      <c r="C30" s="17">
        <v>-41331501599162</v>
      </c>
      <c r="D30" s="17">
        <v>-44285937432281</v>
      </c>
      <c r="E30" s="17">
        <v>-46950705767927</v>
      </c>
      <c r="F30" s="17">
        <v>-49528255613572</v>
      </c>
    </row>
    <row r="31" spans="1:6" x14ac:dyDescent="0.35">
      <c r="A31" s="17">
        <v>227</v>
      </c>
      <c r="B31" s="17" t="s">
        <v>230</v>
      </c>
      <c r="C31" s="17">
        <v>393728381555</v>
      </c>
      <c r="D31" s="17">
        <v>387232909253</v>
      </c>
      <c r="E31" s="17">
        <v>369012352913</v>
      </c>
      <c r="F31" s="17">
        <v>376650723714</v>
      </c>
    </row>
    <row r="32" spans="1:6" x14ac:dyDescent="0.35">
      <c r="A32" s="17">
        <v>228</v>
      </c>
      <c r="B32" s="17" t="s">
        <v>228</v>
      </c>
      <c r="C32" s="17">
        <v>620148444002</v>
      </c>
      <c r="D32" s="17">
        <v>647743375195</v>
      </c>
      <c r="E32" s="17">
        <v>655572693047</v>
      </c>
      <c r="F32" s="17">
        <v>681620150377</v>
      </c>
    </row>
    <row r="33" spans="1:6" x14ac:dyDescent="0.35">
      <c r="A33" s="17">
        <v>229</v>
      </c>
      <c r="B33" s="17" t="s">
        <v>229</v>
      </c>
      <c r="C33" s="17">
        <v>-226420062447</v>
      </c>
      <c r="D33" s="17">
        <v>-258510465942</v>
      </c>
      <c r="E33" s="17">
        <v>-286560340134</v>
      </c>
      <c r="F33" s="17">
        <v>-304969426663</v>
      </c>
    </row>
    <row r="34" spans="1:6" x14ac:dyDescent="0.35">
      <c r="A34" s="17">
        <v>230</v>
      </c>
      <c r="B34" s="17" t="s">
        <v>231</v>
      </c>
      <c r="C34" s="17">
        <v>36267205787</v>
      </c>
      <c r="D34" s="17">
        <v>31726639557</v>
      </c>
      <c r="E34" s="17">
        <v>30370446725</v>
      </c>
      <c r="F34" s="17">
        <v>29014253893</v>
      </c>
    </row>
    <row r="35" spans="1:6" x14ac:dyDescent="0.35">
      <c r="A35" s="17">
        <v>231</v>
      </c>
      <c r="B35" s="17" t="s">
        <v>228</v>
      </c>
      <c r="C35" s="17">
        <v>42051001624</v>
      </c>
      <c r="D35" s="17">
        <v>38867115741</v>
      </c>
      <c r="E35" s="17">
        <v>38867115741</v>
      </c>
      <c r="F35" s="17">
        <v>38867115741</v>
      </c>
    </row>
    <row r="36" spans="1:6" x14ac:dyDescent="0.35">
      <c r="A36" s="17">
        <v>232</v>
      </c>
      <c r="B36" s="17" t="s">
        <v>229</v>
      </c>
      <c r="C36" s="17">
        <v>-5783795837</v>
      </c>
      <c r="D36" s="17">
        <v>-7140476184</v>
      </c>
      <c r="E36" s="17">
        <v>-8496669016</v>
      </c>
      <c r="F36" s="17">
        <v>-9852861848</v>
      </c>
    </row>
    <row r="37" spans="1:6" x14ac:dyDescent="0.35">
      <c r="A37" s="17">
        <v>240</v>
      </c>
      <c r="B37" s="17" t="s">
        <v>232</v>
      </c>
      <c r="C37" s="17">
        <v>5978103870212</v>
      </c>
      <c r="D37" s="17">
        <v>1780813510170</v>
      </c>
      <c r="E37" s="17">
        <v>1717948385041</v>
      </c>
      <c r="F37" s="17">
        <v>2876892162239</v>
      </c>
    </row>
    <row r="38" spans="1:6" x14ac:dyDescent="0.35">
      <c r="A38" s="17">
        <v>242</v>
      </c>
      <c r="B38" s="17" t="s">
        <v>276</v>
      </c>
      <c r="C38" s="17">
        <v>5978103870212</v>
      </c>
      <c r="D38" s="17">
        <v>1780813510170</v>
      </c>
      <c r="E38" s="17">
        <v>1717948385041</v>
      </c>
      <c r="F38" s="17">
        <v>2876892162239</v>
      </c>
    </row>
    <row r="39" spans="1:6" x14ac:dyDescent="0.35">
      <c r="A39" s="17">
        <v>250</v>
      </c>
      <c r="B39" s="17" t="s">
        <v>106</v>
      </c>
      <c r="C39" s="17">
        <v>405533457500</v>
      </c>
      <c r="D39" s="17">
        <v>398010821463</v>
      </c>
      <c r="E39" s="17">
        <v>399715385824</v>
      </c>
      <c r="F39" s="17">
        <v>406032256124</v>
      </c>
    </row>
    <row r="40" spans="1:6" x14ac:dyDescent="0.35">
      <c r="A40" s="17">
        <v>252</v>
      </c>
      <c r="B40" s="17" t="s">
        <v>233</v>
      </c>
      <c r="C40" s="17">
        <v>395533457500</v>
      </c>
      <c r="D40" s="17">
        <v>388010821463</v>
      </c>
      <c r="E40" s="17">
        <v>389715385824</v>
      </c>
      <c r="F40" s="17">
        <v>396032256124</v>
      </c>
    </row>
    <row r="41" spans="1:6" x14ac:dyDescent="0.35">
      <c r="A41" s="17">
        <v>253</v>
      </c>
      <c r="B41" s="17" t="s">
        <v>234</v>
      </c>
      <c r="C41" s="17">
        <v>35000000000</v>
      </c>
      <c r="D41" s="17">
        <v>35000000000</v>
      </c>
      <c r="E41" s="17">
        <v>35000000000</v>
      </c>
      <c r="F41" s="17">
        <v>35000000000</v>
      </c>
    </row>
    <row r="42" spans="1:6" x14ac:dyDescent="0.35">
      <c r="A42" s="17">
        <v>254</v>
      </c>
      <c r="B42" s="17" t="s">
        <v>235</v>
      </c>
      <c r="C42" s="17">
        <v>-25000000000</v>
      </c>
      <c r="D42" s="17">
        <v>-25000000000</v>
      </c>
      <c r="E42" s="17">
        <v>-25000000000</v>
      </c>
      <c r="F42" s="17">
        <v>-25000000000</v>
      </c>
    </row>
    <row r="43" spans="1:6" x14ac:dyDescent="0.35">
      <c r="A43" s="17">
        <v>260</v>
      </c>
      <c r="B43" s="17" t="s">
        <v>236</v>
      </c>
      <c r="C43" s="17">
        <v>4052685959657</v>
      </c>
      <c r="D43" s="17">
        <v>3475909955425</v>
      </c>
      <c r="E43" s="17">
        <v>3663465910698</v>
      </c>
      <c r="F43" s="17">
        <v>3279291799473</v>
      </c>
    </row>
    <row r="44" spans="1:6" x14ac:dyDescent="0.35">
      <c r="A44" s="17">
        <v>261</v>
      </c>
      <c r="B44" s="17" t="s">
        <v>118</v>
      </c>
      <c r="C44" s="17">
        <v>3997897390212</v>
      </c>
      <c r="D44" s="17">
        <v>3435836263150</v>
      </c>
      <c r="E44" s="17">
        <v>3630161349445</v>
      </c>
      <c r="F44" s="17">
        <v>3246336630447</v>
      </c>
    </row>
    <row r="45" spans="1:6" x14ac:dyDescent="0.35">
      <c r="A45" s="17">
        <v>262</v>
      </c>
      <c r="B45" s="17" t="s">
        <v>237</v>
      </c>
      <c r="C45" s="17">
        <v>54788569445</v>
      </c>
      <c r="D45" s="17">
        <v>40073692275</v>
      </c>
      <c r="E45" s="17">
        <v>33304561253</v>
      </c>
      <c r="F45" s="17">
        <v>32955169026</v>
      </c>
    </row>
    <row r="46" spans="1:6" x14ac:dyDescent="0.35">
      <c r="A46" s="17">
        <v>270</v>
      </c>
      <c r="B46" s="17" t="s">
        <v>238</v>
      </c>
      <c r="C46" s="17">
        <v>82662652366363</v>
      </c>
      <c r="D46" s="17">
        <v>87754455330448</v>
      </c>
      <c r="E46" s="17">
        <v>81854881408158</v>
      </c>
      <c r="F46" s="17">
        <v>93568198109790</v>
      </c>
    </row>
    <row r="47" spans="1:6" x14ac:dyDescent="0.35">
      <c r="A47" s="17">
        <v>300</v>
      </c>
      <c r="B47" s="17" t="s">
        <v>239</v>
      </c>
      <c r="C47" s="17">
        <v>21489088811222</v>
      </c>
      <c r="D47" s="17">
        <v>22455835056055</v>
      </c>
      <c r="E47" s="17">
        <v>20283886142528</v>
      </c>
      <c r="F47" s="17">
        <v>25914808991853</v>
      </c>
    </row>
    <row r="48" spans="1:6" x14ac:dyDescent="0.35">
      <c r="A48" s="17">
        <v>310</v>
      </c>
      <c r="B48" s="17" t="s">
        <v>240</v>
      </c>
      <c r="C48" s="17">
        <v>12487956920689</v>
      </c>
      <c r="D48" s="17">
        <v>14971948871764</v>
      </c>
      <c r="E48" s="17">
        <v>14575489059608</v>
      </c>
      <c r="F48" s="17">
        <v>20573719389418</v>
      </c>
    </row>
    <row r="49" spans="1:6" x14ac:dyDescent="0.35">
      <c r="A49" s="17">
        <v>311</v>
      </c>
      <c r="B49" s="17" t="s">
        <v>241</v>
      </c>
      <c r="C49" s="17">
        <v>6652093471748</v>
      </c>
      <c r="D49" s="17">
        <v>7137955519190</v>
      </c>
      <c r="E49" s="17">
        <v>6037010202174</v>
      </c>
      <c r="F49" s="17">
        <v>11925122947416</v>
      </c>
    </row>
    <row r="50" spans="1:6" x14ac:dyDescent="0.35">
      <c r="A50" s="17">
        <v>312</v>
      </c>
      <c r="B50" s="17" t="s">
        <v>242</v>
      </c>
      <c r="C50" s="17">
        <v>128097532572</v>
      </c>
      <c r="D50" s="17">
        <v>119146697343</v>
      </c>
      <c r="E50" s="17">
        <v>270548145715</v>
      </c>
      <c r="F50" s="17">
        <v>447467999760</v>
      </c>
    </row>
    <row r="51" spans="1:6" x14ac:dyDescent="0.35">
      <c r="A51" s="17">
        <v>313</v>
      </c>
      <c r="B51" s="17" t="s">
        <v>243</v>
      </c>
      <c r="C51" s="17">
        <v>873530035417</v>
      </c>
      <c r="D51" s="17">
        <v>650741105663</v>
      </c>
      <c r="E51" s="17">
        <v>682837407395</v>
      </c>
      <c r="F51" s="17">
        <v>1006497154930</v>
      </c>
    </row>
    <row r="52" spans="1:6" x14ac:dyDescent="0.35">
      <c r="A52" s="17">
        <v>314</v>
      </c>
      <c r="B52" s="17" t="s">
        <v>244</v>
      </c>
      <c r="C52" s="17">
        <v>252053435717</v>
      </c>
      <c r="D52" s="17">
        <v>385542736783</v>
      </c>
      <c r="E52" s="17">
        <v>409699768279</v>
      </c>
      <c r="F52" s="17">
        <v>476584660439</v>
      </c>
    </row>
    <row r="53" spans="1:6" x14ac:dyDescent="0.35">
      <c r="A53" s="17">
        <v>315</v>
      </c>
      <c r="B53" s="17" t="s">
        <v>245</v>
      </c>
      <c r="C53" s="17">
        <v>2978023503077</v>
      </c>
      <c r="D53" s="17">
        <v>2844331963463</v>
      </c>
      <c r="E53" s="17">
        <v>2995123654976</v>
      </c>
      <c r="F53" s="17">
        <v>4226253151500</v>
      </c>
    </row>
    <row r="54" spans="1:6" x14ac:dyDescent="0.35">
      <c r="A54" s="17">
        <v>318</v>
      </c>
      <c r="B54" s="17" t="s">
        <v>246</v>
      </c>
      <c r="C54" s="17">
        <v>341833709291</v>
      </c>
      <c r="D54" s="17">
        <v>1035646108508</v>
      </c>
      <c r="E54" s="17">
        <v>2241036607643</v>
      </c>
      <c r="F54" s="17">
        <v>1308805721</v>
      </c>
    </row>
    <row r="55" spans="1:6" x14ac:dyDescent="0.35">
      <c r="A55" s="17">
        <v>319</v>
      </c>
      <c r="B55" s="17" t="s">
        <v>247</v>
      </c>
      <c r="C55" s="17">
        <v>836431004097</v>
      </c>
      <c r="D55" s="17">
        <v>624739245695</v>
      </c>
      <c r="E55" s="17">
        <v>373838581752</v>
      </c>
      <c r="F55" s="17">
        <v>333114428193</v>
      </c>
    </row>
    <row r="56" spans="1:6" x14ac:dyDescent="0.35">
      <c r="A56" s="17">
        <v>320</v>
      </c>
      <c r="B56" s="17" t="s">
        <v>248</v>
      </c>
      <c r="C56" s="17">
        <v>44996858992</v>
      </c>
      <c r="D56" s="17">
        <v>1604782571952</v>
      </c>
      <c r="E56" s="17">
        <v>933829846483</v>
      </c>
      <c r="F56" s="17">
        <v>1439827466686</v>
      </c>
    </row>
    <row r="57" spans="1:6" x14ac:dyDescent="0.35">
      <c r="A57" s="17">
        <v>322</v>
      </c>
      <c r="B57" s="17" t="s">
        <v>249</v>
      </c>
      <c r="C57" s="17">
        <v>380897369778</v>
      </c>
      <c r="D57" s="17">
        <v>569062923168</v>
      </c>
      <c r="E57" s="17">
        <v>631564845191</v>
      </c>
      <c r="F57" s="17">
        <v>717542774773</v>
      </c>
    </row>
    <row r="58" spans="1:6" x14ac:dyDescent="0.35">
      <c r="A58" s="17">
        <v>330</v>
      </c>
      <c r="B58" s="17" t="s">
        <v>132</v>
      </c>
      <c r="C58" s="17">
        <v>9001131890533</v>
      </c>
      <c r="D58" s="17">
        <v>7483886184291</v>
      </c>
      <c r="E58" s="17">
        <v>5708397082920</v>
      </c>
      <c r="F58" s="17">
        <v>5341089602435</v>
      </c>
    </row>
    <row r="59" spans="1:6" x14ac:dyDescent="0.35">
      <c r="A59" s="17">
        <v>336</v>
      </c>
      <c r="B59" s="17" t="s">
        <v>250</v>
      </c>
      <c r="C59" s="17">
        <v>19822419815</v>
      </c>
      <c r="D59" s="17">
        <v>19822419815</v>
      </c>
      <c r="E59" s="17">
        <v>18094359687</v>
      </c>
      <c r="F59" s="17">
        <v>17230329623</v>
      </c>
    </row>
    <row r="60" spans="1:6" x14ac:dyDescent="0.35">
      <c r="A60" s="17">
        <v>337</v>
      </c>
      <c r="B60" s="17" t="s">
        <v>251</v>
      </c>
      <c r="C60" s="17">
        <v>140713909427</v>
      </c>
      <c r="D60" s="17">
        <v>156066914797</v>
      </c>
      <c r="E60" s="17">
        <v>129700198659</v>
      </c>
      <c r="F60" s="17">
        <v>109883490101</v>
      </c>
    </row>
    <row r="61" spans="1:6" x14ac:dyDescent="0.35">
      <c r="A61" s="17">
        <v>338</v>
      </c>
      <c r="B61" s="17" t="s">
        <v>252</v>
      </c>
      <c r="C61" s="17">
        <v>6037962890208</v>
      </c>
      <c r="D61" s="17">
        <v>4270501721940</v>
      </c>
      <c r="E61" s="17">
        <v>2290752009267</v>
      </c>
      <c r="F61" s="17">
        <v>1531862874096</v>
      </c>
    </row>
    <row r="62" spans="1:6" x14ac:dyDescent="0.35">
      <c r="A62" s="17">
        <v>341</v>
      </c>
      <c r="B62" s="17" t="s">
        <v>253</v>
      </c>
      <c r="C62" s="17">
        <v>253194790414</v>
      </c>
      <c r="D62" s="17">
        <v>279708433761</v>
      </c>
      <c r="E62" s="17">
        <v>293780671709</v>
      </c>
      <c r="F62" s="17">
        <v>283528428389</v>
      </c>
    </row>
    <row r="63" spans="1:6" x14ac:dyDescent="0.35">
      <c r="A63" s="17">
        <v>342</v>
      </c>
      <c r="B63" s="17" t="s">
        <v>254</v>
      </c>
      <c r="C63" s="17">
        <v>2546853859491</v>
      </c>
      <c r="D63" s="17">
        <v>2757275036436</v>
      </c>
      <c r="E63" s="17">
        <v>2940586829099</v>
      </c>
      <c r="F63" s="17">
        <v>3161711327997</v>
      </c>
    </row>
    <row r="64" spans="1:6" x14ac:dyDescent="0.35">
      <c r="A64" s="17">
        <v>343</v>
      </c>
      <c r="B64" s="17" t="s">
        <v>255</v>
      </c>
      <c r="C64" s="17">
        <v>2584021178</v>
      </c>
      <c r="D64" s="17">
        <v>511657542</v>
      </c>
      <c r="E64" s="17">
        <v>35483014499</v>
      </c>
      <c r="F64" s="17">
        <v>236873152229</v>
      </c>
    </row>
    <row r="65" spans="1:6" x14ac:dyDescent="0.35">
      <c r="A65" s="17">
        <v>400</v>
      </c>
      <c r="B65" s="17" t="s">
        <v>256</v>
      </c>
      <c r="C65" s="17">
        <v>61173563555141</v>
      </c>
      <c r="D65" s="17">
        <v>65298620274393</v>
      </c>
      <c r="E65" s="17">
        <v>61570995265630</v>
      </c>
      <c r="F65" s="17">
        <v>67653389117937</v>
      </c>
    </row>
    <row r="66" spans="1:6" x14ac:dyDescent="0.35">
      <c r="A66" s="17">
        <v>410</v>
      </c>
      <c r="B66" s="17" t="s">
        <v>142</v>
      </c>
      <c r="C66" s="17">
        <v>61173563555141</v>
      </c>
      <c r="D66" s="17">
        <v>65298620274393</v>
      </c>
      <c r="E66" s="17">
        <v>61570995265630</v>
      </c>
      <c r="F66" s="17">
        <v>67653389117937</v>
      </c>
    </row>
    <row r="67" spans="1:6" x14ac:dyDescent="0.35">
      <c r="A67" s="17">
        <v>411</v>
      </c>
      <c r="B67" s="17" t="s">
        <v>257</v>
      </c>
      <c r="C67" s="17">
        <v>19139500000000</v>
      </c>
      <c r="D67" s="17">
        <v>22967398470000</v>
      </c>
      <c r="E67" s="17">
        <v>23426729190000</v>
      </c>
      <c r="F67" s="17">
        <v>24129497560000</v>
      </c>
    </row>
    <row r="68" spans="1:6" x14ac:dyDescent="0.35">
      <c r="A68" s="17" t="s">
        <v>258</v>
      </c>
      <c r="B68" s="17" t="s">
        <v>259</v>
      </c>
      <c r="C68" s="17">
        <v>19139500000000</v>
      </c>
      <c r="D68" s="17">
        <v>22967398470000</v>
      </c>
      <c r="E68" s="17">
        <v>23426729190000</v>
      </c>
      <c r="F68" s="17">
        <v>24129497560000</v>
      </c>
    </row>
    <row r="69" spans="1:6" x14ac:dyDescent="0.35">
      <c r="A69" s="17">
        <v>412</v>
      </c>
      <c r="B69" s="17" t="s">
        <v>156</v>
      </c>
      <c r="C69" s="17">
        <v>210679541297</v>
      </c>
      <c r="D69" s="17">
        <v>246727266</v>
      </c>
      <c r="E69" s="17">
        <v>246727266</v>
      </c>
      <c r="F69" s="17">
        <v>246727266</v>
      </c>
    </row>
    <row r="70" spans="1:6" x14ac:dyDescent="0.35">
      <c r="A70" s="17">
        <v>414</v>
      </c>
      <c r="B70" s="17" t="s">
        <v>260</v>
      </c>
      <c r="C70" s="17">
        <v>196658562648</v>
      </c>
      <c r="D70" s="17">
        <v>282322856474</v>
      </c>
      <c r="E70" s="17">
        <v>300272460670</v>
      </c>
      <c r="F70" s="17">
        <v>300272460670</v>
      </c>
    </row>
    <row r="71" spans="1:6" x14ac:dyDescent="0.35">
      <c r="A71" s="17">
        <v>418</v>
      </c>
      <c r="B71" s="17" t="s">
        <v>261</v>
      </c>
      <c r="C71" s="17">
        <v>21063056727255</v>
      </c>
      <c r="D71" s="17">
        <v>23919001668407</v>
      </c>
      <c r="E71" s="17">
        <v>26967513791097</v>
      </c>
      <c r="F71" s="17">
        <v>29380604391166</v>
      </c>
    </row>
    <row r="72" spans="1:6" x14ac:dyDescent="0.35">
      <c r="A72" s="17">
        <v>420</v>
      </c>
      <c r="B72" s="17" t="s">
        <v>262</v>
      </c>
      <c r="C72" s="17">
        <v>6287318113</v>
      </c>
      <c r="D72" s="17" t="s">
        <v>217</v>
      </c>
      <c r="E72" s="17" t="s">
        <v>217</v>
      </c>
      <c r="F72" s="17"/>
    </row>
    <row r="73" spans="1:6" x14ac:dyDescent="0.35">
      <c r="A73" s="17">
        <v>421</v>
      </c>
      <c r="B73" s="17" t="s">
        <v>263</v>
      </c>
      <c r="C73" s="17">
        <v>19241492510616</v>
      </c>
      <c r="D73" s="17">
        <v>16879761088028</v>
      </c>
      <c r="E73" s="17">
        <v>9553019715422</v>
      </c>
      <c r="F73" s="17">
        <v>12484110062726</v>
      </c>
    </row>
    <row r="74" spans="1:6" x14ac:dyDescent="0.35">
      <c r="A74" s="17" t="s">
        <v>264</v>
      </c>
      <c r="B74" s="17" t="s">
        <v>265</v>
      </c>
      <c r="C74" s="17">
        <v>4601880959161</v>
      </c>
      <c r="D74" s="17">
        <v>5461127074863</v>
      </c>
      <c r="E74" s="17">
        <v>-647086478241</v>
      </c>
      <c r="F74" s="17">
        <v>1277658070533</v>
      </c>
    </row>
    <row r="75" spans="1:6" x14ac:dyDescent="0.35">
      <c r="A75" s="17" t="s">
        <v>266</v>
      </c>
      <c r="B75" s="17" t="s">
        <v>267</v>
      </c>
      <c r="C75" s="17">
        <v>14639611551455</v>
      </c>
      <c r="D75" s="17">
        <v>11418634013165</v>
      </c>
      <c r="E75" s="17">
        <v>10200106193663</v>
      </c>
      <c r="F75" s="17">
        <v>11212452052193</v>
      </c>
    </row>
    <row r="76" spans="1:6" x14ac:dyDescent="0.35">
      <c r="A76" s="17">
        <v>429</v>
      </c>
      <c r="B76" s="17" t="s">
        <v>66</v>
      </c>
      <c r="C76" s="17">
        <v>1315888895212</v>
      </c>
      <c r="D76" s="17">
        <v>1249889464218</v>
      </c>
      <c r="E76" s="17">
        <v>1323213381181</v>
      </c>
      <c r="F76" s="17">
        <v>1358410438814</v>
      </c>
    </row>
    <row r="77" spans="1:6" x14ac:dyDescent="0.35">
      <c r="A77" s="17">
        <v>440</v>
      </c>
      <c r="B77" s="17" t="s">
        <v>268</v>
      </c>
      <c r="C77" s="17">
        <v>82662652366363</v>
      </c>
      <c r="D77" s="17">
        <v>87754455330448</v>
      </c>
      <c r="E77" s="17">
        <v>81854881408158</v>
      </c>
      <c r="F77" s="17">
        <v>93568198109790</v>
      </c>
    </row>
    <row r="79" spans="1:6" x14ac:dyDescent="0.35">
      <c r="A79" s="2" t="s">
        <v>89</v>
      </c>
    </row>
    <row r="80" spans="1:6" x14ac:dyDescent="0.35">
      <c r="A80" s="15" t="s">
        <v>0</v>
      </c>
      <c r="B80" s="15" t="s">
        <v>1</v>
      </c>
      <c r="C80" s="15">
        <v>2022</v>
      </c>
      <c r="D80" s="15">
        <v>2023</v>
      </c>
      <c r="E80" s="15">
        <v>2024</v>
      </c>
      <c r="F80" s="15">
        <v>2025</v>
      </c>
    </row>
    <row r="81" spans="1:25" x14ac:dyDescent="0.35">
      <c r="A81" s="13">
        <v>1</v>
      </c>
      <c r="B81" s="13" t="s">
        <v>2</v>
      </c>
      <c r="C81" s="14">
        <v>100723549227433</v>
      </c>
      <c r="D81" s="14">
        <v>90014136902542</v>
      </c>
      <c r="E81" s="14">
        <v>103603614927247</v>
      </c>
      <c r="F81" s="14">
        <v>135196548909363</v>
      </c>
      <c r="R81" s="1"/>
      <c r="Y81" s="1"/>
    </row>
    <row r="82" spans="1:25" x14ac:dyDescent="0.35">
      <c r="A82" s="13">
        <v>2</v>
      </c>
      <c r="B82" s="13" t="s">
        <v>274</v>
      </c>
      <c r="C82" s="13" t="s">
        <v>217</v>
      </c>
      <c r="D82" s="14">
        <v>60230389217</v>
      </c>
      <c r="E82" s="14">
        <v>39488364359</v>
      </c>
      <c r="F82" s="14">
        <v>67493580968</v>
      </c>
      <c r="R82" s="1"/>
      <c r="Y82" s="1"/>
    </row>
    <row r="83" spans="1:25" x14ac:dyDescent="0.35">
      <c r="A83" s="13">
        <v>10</v>
      </c>
      <c r="B83" s="13" t="s">
        <v>3</v>
      </c>
      <c r="C83" s="14">
        <v>100723549227433</v>
      </c>
      <c r="D83" s="14">
        <v>89953906513325</v>
      </c>
      <c r="E83" s="14">
        <v>103564126562888</v>
      </c>
      <c r="F83" s="14">
        <v>135129055328395</v>
      </c>
      <c r="R83" s="1"/>
      <c r="Y83" s="1"/>
    </row>
    <row r="84" spans="1:25" x14ac:dyDescent="0.35">
      <c r="A84" s="13">
        <v>11</v>
      </c>
      <c r="B84" s="13" t="s">
        <v>4</v>
      </c>
      <c r="C84" s="14">
        <v>79409012569544</v>
      </c>
      <c r="D84" s="14">
        <v>73028985057627</v>
      </c>
      <c r="E84" s="14">
        <v>85909769124140</v>
      </c>
      <c r="F84" s="14">
        <v>118078501968730</v>
      </c>
      <c r="R84" s="1"/>
      <c r="Y84" s="1"/>
    </row>
    <row r="85" spans="1:25" x14ac:dyDescent="0.35">
      <c r="A85" s="13">
        <v>20</v>
      </c>
      <c r="B85" s="13" t="s">
        <v>5</v>
      </c>
      <c r="C85" s="14">
        <v>21314536657889</v>
      </c>
      <c r="D85" s="14">
        <v>16924921455698</v>
      </c>
      <c r="E85" s="14">
        <v>17654357438748</v>
      </c>
      <c r="F85" s="14">
        <v>17050553359665</v>
      </c>
      <c r="R85" s="1"/>
      <c r="Y85" s="1"/>
    </row>
    <row r="86" spans="1:25" x14ac:dyDescent="0.35">
      <c r="A86" s="13">
        <v>21</v>
      </c>
      <c r="B86" s="13" t="s">
        <v>6</v>
      </c>
      <c r="C86" s="14">
        <v>1568073330550</v>
      </c>
      <c r="D86" s="14">
        <v>2272915648323</v>
      </c>
      <c r="E86" s="14">
        <v>1736612351244</v>
      </c>
      <c r="F86" s="14">
        <v>1580477045284</v>
      </c>
      <c r="R86" s="1"/>
      <c r="Y86" s="1"/>
    </row>
    <row r="87" spans="1:25" x14ac:dyDescent="0.35">
      <c r="A87" s="13">
        <v>22</v>
      </c>
      <c r="B87" s="13" t="s">
        <v>7</v>
      </c>
      <c r="C87" s="14">
        <v>671395477079</v>
      </c>
      <c r="D87" s="14">
        <v>586713077889</v>
      </c>
      <c r="E87" s="14">
        <v>660047745399</v>
      </c>
      <c r="F87" s="14">
        <v>383579287970</v>
      </c>
      <c r="R87" s="1"/>
      <c r="Y87" s="1"/>
    </row>
    <row r="88" spans="1:25" x14ac:dyDescent="0.35">
      <c r="A88" s="13">
        <v>23</v>
      </c>
      <c r="B88" s="13" t="s">
        <v>8</v>
      </c>
      <c r="C88" s="14">
        <v>336861023097</v>
      </c>
      <c r="D88" s="14">
        <v>339976056558</v>
      </c>
      <c r="E88" s="14">
        <v>318596953375</v>
      </c>
      <c r="F88" s="14">
        <v>216056324707</v>
      </c>
      <c r="R88" s="1"/>
      <c r="Y88" s="1"/>
    </row>
    <row r="89" spans="1:25" x14ac:dyDescent="0.35">
      <c r="A89" s="13">
        <v>24</v>
      </c>
      <c r="B89" s="13" t="s">
        <v>9</v>
      </c>
      <c r="C89" s="14">
        <v>31818633340</v>
      </c>
      <c r="D89" s="14">
        <v>26727700788</v>
      </c>
      <c r="E89" s="14">
        <v>37806658350</v>
      </c>
      <c r="F89" s="14">
        <v>41579205053</v>
      </c>
      <c r="R89" s="1"/>
      <c r="Y89" s="1"/>
    </row>
    <row r="90" spans="1:25" x14ac:dyDescent="0.35">
      <c r="A90" s="13">
        <v>25</v>
      </c>
      <c r="B90" s="13" t="s">
        <v>10</v>
      </c>
      <c r="C90" s="14">
        <v>2440389587646</v>
      </c>
      <c r="D90" s="14">
        <v>2543871863091</v>
      </c>
      <c r="E90" s="14">
        <v>2415289067133</v>
      </c>
      <c r="F90" s="14">
        <v>2602003953433</v>
      </c>
      <c r="R90" s="1"/>
      <c r="Y90" s="1"/>
    </row>
    <row r="91" spans="1:25" x14ac:dyDescent="0.35">
      <c r="A91" s="13">
        <v>26</v>
      </c>
      <c r="B91" s="13" t="s">
        <v>11</v>
      </c>
      <c r="C91" s="14">
        <v>1074753539576</v>
      </c>
      <c r="D91" s="14">
        <v>1474856883595</v>
      </c>
      <c r="E91" s="14">
        <v>3197034309940</v>
      </c>
      <c r="F91" s="14">
        <v>1324034343451</v>
      </c>
      <c r="R91" s="1"/>
      <c r="Y91" s="1"/>
    </row>
    <row r="92" spans="1:25" x14ac:dyDescent="0.35">
      <c r="A92" s="13">
        <v>30</v>
      </c>
      <c r="B92" s="13" t="s">
        <v>12</v>
      </c>
      <c r="C92" s="14">
        <v>18727890017478</v>
      </c>
      <c r="D92" s="14">
        <v>14619122980234</v>
      </c>
      <c r="E92" s="14">
        <v>13156405325870</v>
      </c>
      <c r="F92" s="14">
        <v>14362992025148</v>
      </c>
      <c r="R92" s="1"/>
      <c r="Y92" s="1"/>
    </row>
    <row r="93" spans="1:25" x14ac:dyDescent="0.35">
      <c r="A93" s="13">
        <v>31</v>
      </c>
      <c r="B93" s="13" t="s">
        <v>13</v>
      </c>
      <c r="C93" s="14">
        <v>111967278406</v>
      </c>
      <c r="D93" s="14">
        <v>33550256202</v>
      </c>
      <c r="E93" s="14">
        <v>41606598391</v>
      </c>
      <c r="F93" s="14">
        <v>65973656627</v>
      </c>
      <c r="R93" s="1"/>
      <c r="Y93" s="1"/>
    </row>
    <row r="94" spans="1:25" x14ac:dyDescent="0.35">
      <c r="A94" s="13">
        <v>32</v>
      </c>
      <c r="B94" s="13" t="s">
        <v>14</v>
      </c>
      <c r="C94" s="14">
        <v>33582435496</v>
      </c>
      <c r="D94" s="14">
        <v>13131027226</v>
      </c>
      <c r="E94" s="14">
        <v>25904427886</v>
      </c>
      <c r="F94" s="14">
        <v>69530497916</v>
      </c>
      <c r="R94" s="1"/>
      <c r="Y94" s="1"/>
    </row>
    <row r="95" spans="1:25" x14ac:dyDescent="0.35">
      <c r="A95" s="13">
        <v>40</v>
      </c>
      <c r="B95" s="13" t="s">
        <v>15</v>
      </c>
      <c r="C95" s="14">
        <v>78384842910</v>
      </c>
      <c r="D95" s="14">
        <v>20419228976</v>
      </c>
      <c r="E95" s="14">
        <v>15702170505</v>
      </c>
      <c r="F95" s="14">
        <v>-3556841289</v>
      </c>
      <c r="R95" s="1"/>
      <c r="Y95" s="1"/>
    </row>
    <row r="96" spans="1:25" x14ac:dyDescent="0.35">
      <c r="A96" s="13">
        <v>50</v>
      </c>
      <c r="B96" s="13" t="s">
        <v>16</v>
      </c>
      <c r="C96" s="14">
        <v>18806274860388</v>
      </c>
      <c r="D96" s="14">
        <v>14639542209210</v>
      </c>
      <c r="E96" s="14">
        <v>13172107496375</v>
      </c>
      <c r="F96" s="14">
        <v>14359435183859</v>
      </c>
      <c r="R96" s="1"/>
      <c r="Y96" s="1"/>
    </row>
    <row r="97" spans="1:29" x14ac:dyDescent="0.35">
      <c r="A97" s="13">
        <v>51</v>
      </c>
      <c r="B97" s="13" t="s">
        <v>17</v>
      </c>
      <c r="C97" s="14">
        <v>3709948669392</v>
      </c>
      <c r="D97" s="14">
        <v>2812599931853</v>
      </c>
      <c r="E97" s="14">
        <v>2561813069323</v>
      </c>
      <c r="F97" s="14">
        <v>2796326449807</v>
      </c>
      <c r="R97" s="1"/>
      <c r="Y97" s="1"/>
    </row>
    <row r="98" spans="1:29" x14ac:dyDescent="0.35">
      <c r="A98" s="13">
        <v>52</v>
      </c>
      <c r="B98" s="13" t="s">
        <v>269</v>
      </c>
      <c r="C98" s="14">
        <v>29933901568</v>
      </c>
      <c r="D98" s="14">
        <v>33846797814</v>
      </c>
      <c r="E98" s="14">
        <v>20173841542</v>
      </c>
      <c r="F98" s="14">
        <v>-8522491956</v>
      </c>
      <c r="R98" s="1"/>
      <c r="Y98" s="1"/>
    </row>
    <row r="99" spans="1:29" x14ac:dyDescent="0.35">
      <c r="A99" s="13">
        <v>60</v>
      </c>
      <c r="B99" s="13" t="s">
        <v>18</v>
      </c>
      <c r="C99" s="14">
        <v>15066392289428</v>
      </c>
      <c r="D99" s="14">
        <v>11793095479543</v>
      </c>
      <c r="E99" s="14">
        <v>10590120585510</v>
      </c>
      <c r="F99" s="14">
        <v>11571631226008</v>
      </c>
      <c r="R99" s="1"/>
      <c r="Y99" s="1"/>
    </row>
    <row r="100" spans="1:29" x14ac:dyDescent="0.35">
      <c r="A100" s="13">
        <v>61</v>
      </c>
      <c r="B100" s="13" t="s">
        <v>19</v>
      </c>
      <c r="C100" s="14">
        <v>14798317219715</v>
      </c>
      <c r="D100" s="14">
        <v>11606030646959</v>
      </c>
      <c r="E100" s="14">
        <v>10398370049725</v>
      </c>
      <c r="F100" s="14">
        <v>11414339911686</v>
      </c>
      <c r="R100" s="1"/>
      <c r="Y100" s="1"/>
    </row>
    <row r="101" spans="1:29" x14ac:dyDescent="0.35">
      <c r="A101" s="13">
        <v>62</v>
      </c>
      <c r="B101" s="13" t="s">
        <v>20</v>
      </c>
      <c r="C101" s="14">
        <v>268075069713</v>
      </c>
      <c r="D101" s="14">
        <v>187064832584</v>
      </c>
      <c r="E101" s="14">
        <v>191750535785</v>
      </c>
      <c r="F101" s="14">
        <v>157291314322</v>
      </c>
      <c r="R101" s="1"/>
      <c r="Y101" s="1"/>
    </row>
    <row r="102" spans="1:29" x14ac:dyDescent="0.35">
      <c r="A102" s="13">
        <v>70</v>
      </c>
      <c r="B102" s="13" t="s">
        <v>21</v>
      </c>
      <c r="C102" s="14">
        <v>6280</v>
      </c>
      <c r="D102" s="14">
        <v>4972</v>
      </c>
      <c r="E102" s="14">
        <v>4354</v>
      </c>
      <c r="F102" s="14">
        <v>4647</v>
      </c>
      <c r="R102" s="1"/>
      <c r="Y102" s="1"/>
    </row>
    <row r="103" spans="1:29" x14ac:dyDescent="0.35">
      <c r="A103" s="13">
        <v>71</v>
      </c>
      <c r="B103" s="13" t="s">
        <v>22</v>
      </c>
      <c r="C103" s="14">
        <v>6280</v>
      </c>
      <c r="D103" s="14">
        <v>4972</v>
      </c>
      <c r="E103" s="14">
        <v>4354</v>
      </c>
      <c r="F103" s="14"/>
      <c r="R103" s="1"/>
    </row>
    <row r="105" spans="1:29" x14ac:dyDescent="0.35">
      <c r="A105" s="2" t="s">
        <v>204</v>
      </c>
    </row>
    <row r="106" spans="1:29" x14ac:dyDescent="0.35">
      <c r="A106" s="13" t="s">
        <v>0</v>
      </c>
      <c r="B106" s="13" t="s">
        <v>1</v>
      </c>
      <c r="C106" s="15">
        <v>2022</v>
      </c>
      <c r="D106" s="15">
        <v>2023</v>
      </c>
      <c r="E106" s="15">
        <v>2024</v>
      </c>
      <c r="F106" s="15">
        <v>2025</v>
      </c>
    </row>
    <row r="107" spans="1:29" x14ac:dyDescent="0.35">
      <c r="A107" s="13">
        <v>1</v>
      </c>
      <c r="B107" s="13" t="s">
        <v>277</v>
      </c>
      <c r="C107" s="14">
        <v>18806274860388</v>
      </c>
      <c r="D107" s="14">
        <v>14639542209210</v>
      </c>
      <c r="E107" s="17">
        <v>13172107496375</v>
      </c>
      <c r="F107" s="17">
        <v>14359435183859</v>
      </c>
      <c r="K107" s="1"/>
      <c r="L107" s="1"/>
      <c r="Q107" s="1"/>
      <c r="R107" s="1"/>
      <c r="W107" s="1"/>
      <c r="X107" s="1"/>
      <c r="AB107" s="1"/>
      <c r="AC107" s="1"/>
    </row>
    <row r="108" spans="1:29" x14ac:dyDescent="0.35">
      <c r="A108" s="13">
        <v>2</v>
      </c>
      <c r="B108" s="13" t="s">
        <v>278</v>
      </c>
      <c r="C108" s="14">
        <v>3022954831285</v>
      </c>
      <c r="D108" s="14">
        <v>3026921230677</v>
      </c>
      <c r="E108" s="17">
        <v>2727709804035</v>
      </c>
      <c r="F108" s="17">
        <v>2788367501746</v>
      </c>
      <c r="K108" s="1"/>
      <c r="L108" s="1"/>
      <c r="Q108" s="1"/>
      <c r="R108" s="1"/>
      <c r="W108" s="1"/>
      <c r="X108" s="1"/>
      <c r="AB108" s="1"/>
      <c r="AC108" s="1"/>
    </row>
    <row r="109" spans="1:29" x14ac:dyDescent="0.35">
      <c r="A109" s="13">
        <v>3</v>
      </c>
      <c r="B109" s="13" t="s">
        <v>279</v>
      </c>
      <c r="C109" s="14">
        <v>446081612056</v>
      </c>
      <c r="D109" s="14">
        <v>366192272100</v>
      </c>
      <c r="E109" s="17">
        <v>2109442400255</v>
      </c>
      <c r="F109" s="17">
        <v>-193692745781</v>
      </c>
      <c r="K109" s="1"/>
      <c r="L109" s="1"/>
      <c r="Q109" s="1"/>
      <c r="R109" s="1"/>
      <c r="W109" s="1"/>
      <c r="X109" s="1"/>
      <c r="AB109" s="1"/>
      <c r="AC109" s="1"/>
    </row>
    <row r="110" spans="1:29" x14ac:dyDescent="0.35">
      <c r="A110" s="13">
        <v>4</v>
      </c>
      <c r="B110" s="13" t="s">
        <v>280</v>
      </c>
      <c r="C110" s="14">
        <v>73300232774</v>
      </c>
      <c r="D110" s="14">
        <v>96268084573</v>
      </c>
      <c r="E110" s="17">
        <v>170942346</v>
      </c>
      <c r="F110" s="17">
        <v>-57066280340</v>
      </c>
      <c r="K110" s="1"/>
      <c r="L110" s="1"/>
      <c r="Q110" s="1"/>
      <c r="R110" s="1"/>
      <c r="W110" s="1"/>
      <c r="X110" s="1"/>
      <c r="AB110" s="1"/>
      <c r="AC110" s="1"/>
    </row>
    <row r="111" spans="1:29" x14ac:dyDescent="0.35">
      <c r="A111" s="13">
        <v>5</v>
      </c>
      <c r="B111" s="13" t="s">
        <v>281</v>
      </c>
      <c r="C111" s="14">
        <v>-1335908271004</v>
      </c>
      <c r="D111" s="14">
        <v>-2073305978387</v>
      </c>
      <c r="E111" s="17">
        <v>-1504151203000</v>
      </c>
      <c r="F111" s="17">
        <v>-1342538406090</v>
      </c>
      <c r="K111" s="1"/>
      <c r="L111" s="1"/>
      <c r="Q111" s="1"/>
      <c r="R111" s="1"/>
      <c r="W111" s="1"/>
      <c r="X111" s="1"/>
      <c r="AB111" s="1"/>
      <c r="AC111" s="1"/>
    </row>
    <row r="112" spans="1:29" x14ac:dyDescent="0.35">
      <c r="A112" s="13">
        <v>6</v>
      </c>
      <c r="B112" s="13" t="s">
        <v>60</v>
      </c>
      <c r="C112" s="14">
        <v>336861023097</v>
      </c>
      <c r="D112" s="14">
        <v>339976056558</v>
      </c>
      <c r="E112" s="17">
        <v>318596953375</v>
      </c>
      <c r="F112" s="17">
        <v>216056324707</v>
      </c>
      <c r="K112" s="1"/>
      <c r="L112" s="1"/>
      <c r="Q112" s="1"/>
      <c r="R112" s="1"/>
      <c r="W112" s="1"/>
      <c r="X112" s="1"/>
      <c r="AB112" s="1"/>
      <c r="AC112" s="1"/>
    </row>
    <row r="113" spans="1:29" x14ac:dyDescent="0.35">
      <c r="A113" s="13">
        <v>8</v>
      </c>
      <c r="B113" s="13" t="s">
        <v>282</v>
      </c>
      <c r="C113" s="14">
        <v>21349564288596</v>
      </c>
      <c r="D113" s="14">
        <v>16395593874731</v>
      </c>
      <c r="E113" s="17">
        <v>16824776393386</v>
      </c>
      <c r="F113" s="17">
        <v>15770561578100</v>
      </c>
      <c r="K113" s="1"/>
      <c r="L113" s="1"/>
      <c r="Q113" s="1"/>
      <c r="R113" s="1"/>
      <c r="W113" s="1"/>
      <c r="X113" s="1"/>
      <c r="AB113" s="1"/>
      <c r="AC113" s="1"/>
    </row>
    <row r="114" spans="1:29" x14ac:dyDescent="0.35">
      <c r="A114" s="13">
        <v>9</v>
      </c>
      <c r="B114" s="13" t="s">
        <v>283</v>
      </c>
      <c r="C114" s="14">
        <v>782276386743</v>
      </c>
      <c r="D114" s="14">
        <v>-550297452099</v>
      </c>
      <c r="E114" s="17">
        <v>4549384677628</v>
      </c>
      <c r="F114" s="17">
        <v>-6623511061086</v>
      </c>
      <c r="K114" s="1"/>
      <c r="L114" s="1"/>
      <c r="Q114" s="1"/>
      <c r="R114" s="1"/>
      <c r="W114" s="1"/>
      <c r="X114" s="1"/>
      <c r="AB114" s="1"/>
      <c r="AC114" s="1"/>
    </row>
    <row r="115" spans="1:29" x14ac:dyDescent="0.35">
      <c r="A115" s="13">
        <v>10</v>
      </c>
      <c r="B115" s="13" t="s">
        <v>284</v>
      </c>
      <c r="C115" s="14">
        <v>-680659726216</v>
      </c>
      <c r="D115" s="14">
        <v>115462821548</v>
      </c>
      <c r="E115" s="17">
        <v>-662132189021</v>
      </c>
      <c r="F115" s="17">
        <v>144482427857</v>
      </c>
      <c r="K115" s="1"/>
      <c r="L115" s="1"/>
      <c r="Q115" s="1"/>
      <c r="R115" s="1"/>
      <c r="W115" s="1"/>
      <c r="X115" s="1"/>
      <c r="AB115" s="1"/>
      <c r="AC115" s="1"/>
    </row>
    <row r="116" spans="1:29" x14ac:dyDescent="0.35">
      <c r="A116" s="13">
        <v>11</v>
      </c>
      <c r="B116" s="13" t="s">
        <v>285</v>
      </c>
      <c r="C116" s="14">
        <v>-3677892636800</v>
      </c>
      <c r="D116" s="14">
        <v>1159357930370</v>
      </c>
      <c r="E116" s="17">
        <v>930606432959</v>
      </c>
      <c r="F116" s="17">
        <v>6352615685034</v>
      </c>
      <c r="K116" s="1"/>
      <c r="L116" s="1"/>
      <c r="Q116" s="1"/>
      <c r="R116" s="1"/>
      <c r="W116" s="1"/>
      <c r="X116" s="1"/>
      <c r="AB116" s="1"/>
      <c r="AC116" s="1"/>
    </row>
    <row r="117" spans="1:29" x14ac:dyDescent="0.35">
      <c r="A117" s="13">
        <v>12</v>
      </c>
      <c r="B117" s="13" t="s">
        <v>286</v>
      </c>
      <c r="C117" s="14">
        <v>-266779341486</v>
      </c>
      <c r="D117" s="14">
        <v>585198622793</v>
      </c>
      <c r="E117" s="17">
        <v>-179814994980</v>
      </c>
      <c r="F117" s="17">
        <v>362763874329</v>
      </c>
      <c r="K117" s="1"/>
      <c r="L117" s="1"/>
      <c r="Q117" s="1"/>
      <c r="R117" s="1"/>
      <c r="W117" s="1"/>
      <c r="X117" s="1"/>
      <c r="AB117" s="1"/>
      <c r="AC117" s="1"/>
    </row>
    <row r="118" spans="1:29" x14ac:dyDescent="0.35">
      <c r="A118" s="13">
        <v>14</v>
      </c>
      <c r="B118" s="13" t="s">
        <v>287</v>
      </c>
      <c r="C118" s="14">
        <v>-537119783618</v>
      </c>
      <c r="D118" s="14">
        <v>-505230388152</v>
      </c>
      <c r="E118" s="17">
        <v>-334023151235</v>
      </c>
      <c r="F118" s="17">
        <v>-220314430825</v>
      </c>
      <c r="K118" s="1"/>
      <c r="L118" s="1"/>
      <c r="Q118" s="1"/>
      <c r="R118" s="1"/>
      <c r="W118" s="1"/>
      <c r="X118" s="1"/>
      <c r="AB118" s="1"/>
      <c r="AC118" s="1"/>
    </row>
    <row r="119" spans="1:29" x14ac:dyDescent="0.35">
      <c r="A119" s="13">
        <v>15</v>
      </c>
      <c r="B119" s="13" t="s">
        <v>288</v>
      </c>
      <c r="C119" s="14">
        <v>-3451711192375</v>
      </c>
      <c r="D119" s="14">
        <v>-3134151129378</v>
      </c>
      <c r="E119" s="17">
        <v>-2632100363803</v>
      </c>
      <c r="F119" s="17">
        <v>-2402735413734</v>
      </c>
      <c r="K119" s="1"/>
      <c r="L119" s="1"/>
      <c r="Q119" s="1"/>
      <c r="R119" s="1"/>
      <c r="W119" s="1"/>
      <c r="X119" s="1"/>
      <c r="AB119" s="1"/>
      <c r="AC119" s="1"/>
    </row>
    <row r="120" spans="1:29" x14ac:dyDescent="0.35">
      <c r="A120" s="13">
        <v>17</v>
      </c>
      <c r="B120" s="13" t="s">
        <v>289</v>
      </c>
      <c r="C120" s="14">
        <v>-545607495656</v>
      </c>
      <c r="D120" s="14">
        <v>-238889627322</v>
      </c>
      <c r="E120" s="17">
        <v>-362716748314</v>
      </c>
      <c r="F120" s="17">
        <v>-348783972396</v>
      </c>
      <c r="K120" s="1"/>
      <c r="L120" s="1"/>
      <c r="Q120" s="1"/>
      <c r="R120" s="1"/>
      <c r="W120" s="1"/>
      <c r="X120" s="1"/>
      <c r="AB120" s="1"/>
    </row>
    <row r="121" spans="1:29" x14ac:dyDescent="0.35">
      <c r="A121" s="13">
        <v>20</v>
      </c>
      <c r="B121" s="13" t="s">
        <v>177</v>
      </c>
      <c r="C121" s="14">
        <v>12792070499188</v>
      </c>
      <c r="D121" s="14">
        <v>13827044652491</v>
      </c>
      <c r="E121" s="17">
        <v>9035210701364</v>
      </c>
      <c r="F121" s="17">
        <v>13040237870138</v>
      </c>
      <c r="K121" s="1"/>
      <c r="L121" s="1"/>
      <c r="Q121" s="1"/>
      <c r="R121" s="1"/>
      <c r="W121" s="1"/>
      <c r="X121" s="1"/>
      <c r="AB121" s="1"/>
      <c r="AC121" s="1"/>
    </row>
    <row r="122" spans="1:29" x14ac:dyDescent="0.35">
      <c r="A122" s="13">
        <v>21</v>
      </c>
      <c r="B122" s="13" t="s">
        <v>290</v>
      </c>
      <c r="C122" s="14">
        <v>-2009673196429</v>
      </c>
      <c r="D122" s="14">
        <v>-1841341777865</v>
      </c>
      <c r="E122" s="17">
        <v>-1925456571752</v>
      </c>
      <c r="F122" s="17">
        <v>-2314735009692</v>
      </c>
      <c r="K122" s="1"/>
      <c r="L122" s="1"/>
      <c r="Q122" s="1"/>
      <c r="R122" s="1"/>
      <c r="W122" s="1"/>
      <c r="X122" s="1"/>
      <c r="AB122" s="1"/>
      <c r="AC122" s="1"/>
    </row>
    <row r="123" spans="1:29" x14ac:dyDescent="0.35">
      <c r="A123" s="13">
        <v>22</v>
      </c>
      <c r="B123" s="13" t="s">
        <v>291</v>
      </c>
      <c r="C123" s="14">
        <v>570658941</v>
      </c>
      <c r="D123" s="14">
        <v>66000000</v>
      </c>
      <c r="E123" s="17">
        <v>386025703</v>
      </c>
      <c r="F123" s="17">
        <v>632543704</v>
      </c>
      <c r="K123" s="1"/>
      <c r="L123" s="1"/>
      <c r="Q123" s="1"/>
      <c r="R123" s="1"/>
      <c r="W123" s="1"/>
      <c r="X123" s="1"/>
      <c r="AB123" s="1"/>
      <c r="AC123" s="1"/>
    </row>
    <row r="124" spans="1:29" x14ac:dyDescent="0.35">
      <c r="A124" s="13">
        <v>23</v>
      </c>
      <c r="B124" s="13" t="s">
        <v>292</v>
      </c>
      <c r="C124" s="14">
        <v>-40741761303346</v>
      </c>
      <c r="D124" s="14">
        <v>-50078274935445</v>
      </c>
      <c r="E124" s="17">
        <v>-46644494787639</v>
      </c>
      <c r="F124" s="17">
        <v>-45592159986135</v>
      </c>
      <c r="K124" s="1"/>
      <c r="L124" s="1"/>
      <c r="Q124" s="1"/>
      <c r="R124" s="1"/>
      <c r="W124" s="1"/>
      <c r="X124" s="1"/>
      <c r="AB124" s="1"/>
      <c r="AC124" s="1"/>
    </row>
    <row r="125" spans="1:29" x14ac:dyDescent="0.35">
      <c r="A125" s="13">
        <v>24</v>
      </c>
      <c r="B125" s="13" t="s">
        <v>293</v>
      </c>
      <c r="C125" s="14">
        <v>41815088168061</v>
      </c>
      <c r="D125" s="14">
        <v>38720237385731</v>
      </c>
      <c r="E125" s="17">
        <v>54238231485375</v>
      </c>
      <c r="F125" s="17">
        <v>40195639868239</v>
      </c>
      <c r="K125" s="1"/>
      <c r="L125" s="1"/>
      <c r="Q125" s="1"/>
      <c r="R125" s="1"/>
      <c r="W125" s="1"/>
      <c r="X125" s="1"/>
      <c r="AB125" s="1"/>
      <c r="AC125" s="1"/>
    </row>
    <row r="126" spans="1:29" x14ac:dyDescent="0.35">
      <c r="A126" s="13">
        <v>27</v>
      </c>
      <c r="B126" s="13" t="s">
        <v>294</v>
      </c>
      <c r="C126" s="14">
        <v>1200815213928</v>
      </c>
      <c r="D126" s="14">
        <v>1950619634557</v>
      </c>
      <c r="E126" s="17">
        <v>1800643654080</v>
      </c>
      <c r="F126" s="17">
        <v>1242003082869</v>
      </c>
      <c r="K126" s="1"/>
      <c r="L126" s="1"/>
      <c r="Q126" s="1"/>
      <c r="R126" s="1"/>
      <c r="W126" s="1"/>
      <c r="X126" s="1"/>
      <c r="AB126" s="1"/>
      <c r="AC126" s="1"/>
    </row>
    <row r="127" spans="1:29" x14ac:dyDescent="0.35">
      <c r="A127" s="13">
        <v>30</v>
      </c>
      <c r="B127" s="13" t="s">
        <v>187</v>
      </c>
      <c r="C127" s="14">
        <v>265039541155</v>
      </c>
      <c r="D127" s="14">
        <v>-11248693693022</v>
      </c>
      <c r="E127" s="17">
        <v>7468309783967</v>
      </c>
      <c r="F127" s="17">
        <v>-6468619501015</v>
      </c>
      <c r="K127" s="1"/>
      <c r="L127" s="1"/>
      <c r="Q127" s="1"/>
      <c r="R127" s="1"/>
      <c r="W127" s="1"/>
      <c r="X127" s="1"/>
      <c r="AB127" s="1"/>
      <c r="AC127" s="1"/>
    </row>
    <row r="128" spans="1:29" x14ac:dyDescent="0.35">
      <c r="A128" s="13">
        <v>31</v>
      </c>
      <c r="B128" s="13" t="s">
        <v>295</v>
      </c>
      <c r="C128" s="14">
        <v>118345978175</v>
      </c>
      <c r="D128" s="13" t="s">
        <v>217</v>
      </c>
      <c r="E128" s="17"/>
      <c r="F128" s="17"/>
      <c r="K128" s="1"/>
      <c r="R128" s="1"/>
      <c r="W128" s="1"/>
      <c r="X128" s="1"/>
      <c r="AB128" s="1"/>
      <c r="AC128" s="1"/>
    </row>
    <row r="129" spans="1:29" x14ac:dyDescent="0.35">
      <c r="A129" s="13">
        <v>33</v>
      </c>
      <c r="B129" s="13" t="s">
        <v>296</v>
      </c>
      <c r="C129" s="14">
        <v>1325381539466</v>
      </c>
      <c r="D129" s="14">
        <v>2075745608357</v>
      </c>
      <c r="E129" s="17">
        <v>1803899835850</v>
      </c>
      <c r="F129" s="17">
        <v>1108894654657</v>
      </c>
      <c r="K129" s="1"/>
      <c r="L129" s="1"/>
      <c r="Q129" s="1"/>
      <c r="R129" s="1"/>
      <c r="W129" s="1"/>
      <c r="X129" s="1"/>
      <c r="AB129" s="1"/>
      <c r="AC129" s="1"/>
    </row>
    <row r="130" spans="1:29" x14ac:dyDescent="0.35">
      <c r="A130" s="13">
        <v>34</v>
      </c>
      <c r="B130" s="13" t="s">
        <v>297</v>
      </c>
      <c r="C130" s="14">
        <v>-3370675691680</v>
      </c>
      <c r="D130" s="14">
        <v>-2419278798827</v>
      </c>
      <c r="E130" s="17">
        <v>-4602854918967</v>
      </c>
      <c r="F130" s="17">
        <v>-1361786169625</v>
      </c>
      <c r="K130" s="1"/>
      <c r="L130" s="1"/>
      <c r="Q130" s="1"/>
      <c r="R130" s="1"/>
      <c r="W130" s="1"/>
      <c r="X130" s="1"/>
      <c r="AB130" s="1"/>
      <c r="AC130" s="1"/>
    </row>
    <row r="131" spans="1:29" x14ac:dyDescent="0.35">
      <c r="A131" s="13">
        <v>36</v>
      </c>
      <c r="B131" s="13" t="s">
        <v>298</v>
      </c>
      <c r="C131" s="14">
        <v>-5882313058641</v>
      </c>
      <c r="D131" s="14">
        <v>-7119780163201</v>
      </c>
      <c r="E131" s="17">
        <v>-13872476202356</v>
      </c>
      <c r="F131" s="17">
        <v>-5011650250256</v>
      </c>
      <c r="K131" s="1"/>
      <c r="L131" s="1"/>
      <c r="Q131" s="1"/>
      <c r="R131" s="1"/>
      <c r="W131" s="1"/>
      <c r="X131" s="1"/>
      <c r="AB131" s="1"/>
      <c r="AC131" s="1"/>
    </row>
    <row r="132" spans="1:29" x14ac:dyDescent="0.35">
      <c r="A132" s="13">
        <v>40</v>
      </c>
      <c r="B132" s="13" t="s">
        <v>199</v>
      </c>
      <c r="C132" s="14">
        <v>-7809261232680</v>
      </c>
      <c r="D132" s="14">
        <v>-7463313353671</v>
      </c>
      <c r="E132" s="17">
        <v>-16612428236073</v>
      </c>
      <c r="F132" s="17">
        <v>-5264541765224</v>
      </c>
      <c r="K132" s="1"/>
      <c r="L132" s="1"/>
      <c r="Q132" s="1"/>
      <c r="R132" s="1"/>
      <c r="W132" s="1"/>
      <c r="X132" s="1"/>
      <c r="AB132" s="1"/>
      <c r="AC132" s="1"/>
    </row>
    <row r="133" spans="1:29" x14ac:dyDescent="0.35">
      <c r="A133" s="13">
        <v>50</v>
      </c>
      <c r="B133" s="13" t="s">
        <v>299</v>
      </c>
      <c r="C133" s="14">
        <v>5247848807663</v>
      </c>
      <c r="D133" s="14">
        <v>-4884962394202</v>
      </c>
      <c r="E133" s="17">
        <v>-108907750742</v>
      </c>
      <c r="F133" s="17">
        <v>1307076603899</v>
      </c>
      <c r="K133" s="1"/>
      <c r="L133" s="1"/>
      <c r="Q133" s="1"/>
      <c r="R133" s="1"/>
      <c r="W133" s="1"/>
      <c r="X133" s="1"/>
      <c r="AB133" s="1"/>
      <c r="AC133" s="1"/>
    </row>
    <row r="134" spans="1:29" x14ac:dyDescent="0.35">
      <c r="A134" s="13">
        <v>60</v>
      </c>
      <c r="B134" s="13" t="s">
        <v>300</v>
      </c>
      <c r="C134" s="14">
        <v>5300330735432</v>
      </c>
      <c r="D134" s="14">
        <v>10549337638537</v>
      </c>
      <c r="E134" s="17">
        <v>5668895193049</v>
      </c>
      <c r="F134" s="17">
        <v>5567983431468</v>
      </c>
      <c r="K134" s="1"/>
      <c r="L134" s="1"/>
      <c r="Q134" s="1"/>
      <c r="R134" s="1"/>
      <c r="W134" s="1"/>
      <c r="X134" s="1"/>
      <c r="AB134" s="1"/>
      <c r="AC134" s="1"/>
    </row>
    <row r="135" spans="1:29" x14ac:dyDescent="0.35">
      <c r="A135" s="13">
        <v>61</v>
      </c>
      <c r="B135" s="13" t="s">
        <v>301</v>
      </c>
      <c r="C135" s="14">
        <v>1158095442</v>
      </c>
      <c r="D135" s="14">
        <v>4519948714</v>
      </c>
      <c r="E135" s="17">
        <v>7995898161</v>
      </c>
      <c r="F135" s="17">
        <v>1408246718</v>
      </c>
      <c r="K135" s="1"/>
      <c r="L135" s="1"/>
      <c r="Q135" s="1"/>
      <c r="R135" s="1"/>
      <c r="W135" s="1"/>
      <c r="X135" s="1"/>
      <c r="AB135" s="1"/>
      <c r="AC135" s="1"/>
    </row>
    <row r="136" spans="1:29" x14ac:dyDescent="0.35">
      <c r="A136" s="13">
        <v>70</v>
      </c>
      <c r="B136" s="13" t="s">
        <v>302</v>
      </c>
      <c r="C136" s="14">
        <v>10549337638537</v>
      </c>
      <c r="D136" s="14">
        <v>5668895193049</v>
      </c>
      <c r="E136" s="17">
        <v>5567983431468</v>
      </c>
      <c r="F136" s="17"/>
      <c r="K136" s="1"/>
      <c r="L136" s="1"/>
      <c r="Q136" s="1"/>
      <c r="R136" s="1"/>
      <c r="AB136" s="1"/>
      <c r="AC136" s="1"/>
    </row>
    <row r="137" spans="1:29" x14ac:dyDescent="0.35">
      <c r="A137" s="13"/>
      <c r="B137" s="13" t="s">
        <v>80</v>
      </c>
      <c r="C137" s="14">
        <v>10103005412746</v>
      </c>
      <c r="D137" s="14">
        <v>7121889546828</v>
      </c>
      <c r="E137" s="14">
        <v>-2220725637271</v>
      </c>
      <c r="F137" s="14">
        <v>8769710705203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E08F-8C0F-4627-A210-15E44FE40E61}">
  <dimension ref="A1:G40"/>
  <sheetViews>
    <sheetView showGridLines="0" zoomScale="85" zoomScaleNormal="85" workbookViewId="0">
      <selection activeCell="D1" sqref="D1:G1048576"/>
    </sheetView>
  </sheetViews>
  <sheetFormatPr defaultRowHeight="14.5" x14ac:dyDescent="0.35"/>
  <cols>
    <col min="1" max="1" width="30.6328125" bestFit="1" customWidth="1"/>
    <col min="2" max="2" width="40.1796875" bestFit="1" customWidth="1"/>
    <col min="3" max="3" width="5.7265625" bestFit="1" customWidth="1"/>
    <col min="4" max="7" width="29.36328125" customWidth="1"/>
    <col min="8" max="16384" width="8.7265625" style="44"/>
  </cols>
  <sheetData>
    <row r="1" spans="1:7" ht="18.5" x14ac:dyDescent="0.45">
      <c r="A1" s="46" t="s">
        <v>90</v>
      </c>
      <c r="B1" s="46"/>
      <c r="C1" s="46"/>
      <c r="D1" s="46"/>
      <c r="E1" s="46"/>
      <c r="F1" s="46"/>
      <c r="G1" s="46"/>
    </row>
    <row r="2" spans="1:7" x14ac:dyDescent="0.35">
      <c r="A2" t="s">
        <v>318</v>
      </c>
      <c r="B2" t="s">
        <v>275</v>
      </c>
    </row>
    <row r="3" spans="1:7" x14ac:dyDescent="0.35">
      <c r="A3" s="47"/>
      <c r="B3" s="47"/>
      <c r="C3" s="47" t="s">
        <v>0</v>
      </c>
      <c r="D3" s="47">
        <v>2022</v>
      </c>
      <c r="E3" s="47">
        <v>2023</v>
      </c>
      <c r="F3" s="47">
        <v>2024</v>
      </c>
      <c r="G3" s="47">
        <v>2025</v>
      </c>
    </row>
    <row r="4" spans="1:7" s="45" customFormat="1" x14ac:dyDescent="0.35">
      <c r="A4" s="2" t="s">
        <v>91</v>
      </c>
      <c r="B4" s="2" t="s">
        <v>92</v>
      </c>
      <c r="C4" s="2"/>
      <c r="D4" s="10"/>
      <c r="E4" s="2"/>
      <c r="F4" s="2"/>
      <c r="G4" s="2"/>
    </row>
    <row r="5" spans="1:7" x14ac:dyDescent="0.35">
      <c r="A5" t="s">
        <v>93</v>
      </c>
      <c r="B5" t="s">
        <v>94</v>
      </c>
      <c r="C5">
        <v>110</v>
      </c>
      <c r="D5" s="1">
        <f>IFERROR(INDEX(Overall!$B$4:$F$77,
MATCH('Balance Sheet'!$C5,Overall!$A$4:$A$77,0),
MATCH('Balance Sheet'!D$3,Overall!$B$3:$F$3,0)),"")</f>
        <v>10549337638537</v>
      </c>
      <c r="E5" s="1">
        <f>IFERROR(INDEX(Overall!$B$4:$F$77,
MATCH('Balance Sheet'!$C5,Overall!$A$4:$A$77,0),
MATCH('Balance Sheet'!E$3,Overall!$B$3:$F$3,0)),"")</f>
        <v>5668895193049</v>
      </c>
      <c r="F5" s="1">
        <f>IFERROR(INDEX(Overall!$B$4:$F$77,
MATCH('Balance Sheet'!$C5,Overall!$A$4:$A$77,0),
MATCH('Balance Sheet'!F$3,Overall!$B$3:$F$3,0)),"")</f>
        <v>5567983431468</v>
      </c>
      <c r="G5" s="1">
        <f>IFERROR(INDEX(Overall!$B$4:$F$77,
MATCH('Balance Sheet'!$C5,Overall!$A$4:$A$77,0),
MATCH('Balance Sheet'!G$3,Overall!$B$3:$F$3,0)),"")</f>
        <v>6876468282085</v>
      </c>
    </row>
    <row r="6" spans="1:7" x14ac:dyDescent="0.35">
      <c r="A6" t="s">
        <v>95</v>
      </c>
      <c r="B6" t="s">
        <v>96</v>
      </c>
      <c r="C6">
        <v>120</v>
      </c>
      <c r="D6" s="1">
        <f>IFERROR(INDEX(Overall!$B$4:$F$77,
MATCH('Balance Sheet'!$C6,Overall!$A$4:$A$77,0),
MATCH('Balance Sheet'!D$3,Overall!$B$3:$F$3,0)),"")</f>
        <v>23726498790237</v>
      </c>
      <c r="E6" s="1">
        <f>IFERROR(INDEX(Overall!$B$4:$F$77,
MATCH('Balance Sheet'!$C6,Overall!$A$4:$A$77,0),
MATCH('Balance Sheet'!E$3,Overall!$B$3:$F$3,0)),"")</f>
        <v>35084645516061</v>
      </c>
      <c r="F6" s="1">
        <f>IFERROR(INDEX(Overall!$B$4:$F$77,
MATCH('Balance Sheet'!$C6,Overall!$A$4:$A$77,0),
MATCH('Balance Sheet'!F$3,Overall!$B$3:$F$3,0)),"")</f>
        <v>27404031282702</v>
      </c>
      <c r="G6" s="1">
        <f>IFERROR(INDEX(Overall!$B$4:$F$77,
MATCH('Balance Sheet'!$C6,Overall!$A$4:$A$77,0),
MATCH('Balance Sheet'!G$3,Overall!$B$3:$F$3,0)),"")</f>
        <v>32890551400598</v>
      </c>
    </row>
    <row r="7" spans="1:7" x14ac:dyDescent="0.35">
      <c r="A7" t="s">
        <v>97</v>
      </c>
      <c r="B7" t="s">
        <v>98</v>
      </c>
      <c r="C7">
        <v>130</v>
      </c>
      <c r="D7" s="1">
        <f>IFERROR(INDEX(Overall!$B$4:$F$77,
MATCH('Balance Sheet'!$C7,Overall!$A$4:$A$77,0),
MATCH('Balance Sheet'!D$3,Overall!$B$3:$F$3,0)),"")</f>
        <v>16191131770955</v>
      </c>
      <c r="E7" s="1">
        <f>IFERROR(INDEX(Overall!$B$4:$F$77,
MATCH('Balance Sheet'!$C7,Overall!$A$4:$A$77,0),
MATCH('Balance Sheet'!E$3,Overall!$B$3:$F$3,0)),"")</f>
        <v>16865314290394</v>
      </c>
      <c r="F7" s="1">
        <f>IFERROR(INDEX(Overall!$B$4:$F$77,
MATCH('Balance Sheet'!$C7,Overall!$A$4:$A$77,0),
MATCH('Balance Sheet'!F$3,Overall!$B$3:$F$3,0)),"")</f>
        <v>19098417078475</v>
      </c>
      <c r="G7" s="1">
        <f>IFERROR(INDEX(Overall!$B$4:$F$77,
MATCH('Balance Sheet'!$C7,Overall!$A$4:$A$77,0),
MATCH('Balance Sheet'!G$3,Overall!$B$3:$F$3,0)),"")</f>
        <v>24881281586057</v>
      </c>
    </row>
    <row r="8" spans="1:7" x14ac:dyDescent="0.35">
      <c r="A8" t="s">
        <v>99</v>
      </c>
      <c r="B8" t="s">
        <v>100</v>
      </c>
      <c r="C8">
        <v>140</v>
      </c>
      <c r="D8" s="1">
        <f>IFERROR(INDEX(Overall!$B$4:$F$77,
MATCH('Balance Sheet'!$C8,Overall!$A$4:$A$77,0),
MATCH('Balance Sheet'!D$3,Overall!$B$3:$F$3,0)),"")</f>
        <v>4102441805643</v>
      </c>
      <c r="E8" s="1">
        <f>IFERROR(INDEX(Overall!$B$4:$F$77,
MATCH('Balance Sheet'!$C8,Overall!$A$4:$A$77,0),
MATCH('Balance Sheet'!E$3,Overall!$B$3:$F$3,0)),"")</f>
        <v>3944544425746</v>
      </c>
      <c r="F8" s="1">
        <f>IFERROR(INDEX(Overall!$B$4:$F$77,
MATCH('Balance Sheet'!$C8,Overall!$A$4:$A$77,0),
MATCH('Balance Sheet'!F$3,Overall!$B$3:$F$3,0)),"")</f>
        <v>4598950949693</v>
      </c>
      <c r="G8" s="1">
        <f>IFERROR(INDEX(Overall!$B$4:$F$77,
MATCH('Balance Sheet'!$C8,Overall!$A$4:$A$77,0),
MATCH('Balance Sheet'!G$3,Overall!$B$3:$F$3,0)),"")</f>
        <v>4398771281185</v>
      </c>
    </row>
    <row r="9" spans="1:7" x14ac:dyDescent="0.35">
      <c r="A9" t="s">
        <v>101</v>
      </c>
      <c r="B9" t="s">
        <v>102</v>
      </c>
      <c r="C9">
        <v>150</v>
      </c>
      <c r="D9" s="1">
        <f>IFERROR(INDEX(Overall!$B$4:$F$77,
MATCH('Balance Sheet'!$C9,Overall!$A$4:$A$77,0),
MATCH('Balance Sheet'!D$3,Overall!$B$3:$F$3,0)),"")</f>
        <v>1082297952648</v>
      </c>
      <c r="E9" s="1">
        <f>IFERROR(INDEX(Overall!$B$4:$F$77,
MATCH('Balance Sheet'!$C9,Overall!$A$4:$A$77,0),
MATCH('Balance Sheet'!E$3,Overall!$B$3:$F$3,0)),"")</f>
        <v>654352727689</v>
      </c>
      <c r="F9" s="1">
        <f>IFERROR(INDEX(Overall!$B$4:$F$77,
MATCH('Balance Sheet'!$C9,Overall!$A$4:$A$77,0),
MATCH('Balance Sheet'!F$3,Overall!$B$3:$F$3,0)),"")</f>
        <v>531112687800</v>
      </c>
      <c r="G9" s="1">
        <f>IFERROR(INDEX(Overall!$B$4:$F$77,
MATCH('Balance Sheet'!$C9,Overall!$A$4:$A$77,0),
MATCH('Balance Sheet'!G$3,Overall!$B$3:$F$3,0)),"")</f>
        <v>855393085401</v>
      </c>
    </row>
    <row r="10" spans="1:7" s="45" customFormat="1" x14ac:dyDescent="0.35">
      <c r="A10" s="5" t="s">
        <v>103</v>
      </c>
      <c r="B10" s="5" t="s">
        <v>104</v>
      </c>
      <c r="C10" s="5">
        <v>100</v>
      </c>
      <c r="D10" s="42">
        <f>IFERROR(INDEX(Overall!$B$4:$F$77,
MATCH('Balance Sheet'!$C10,Overall!$A$4:$A$77,0),
MATCH('Balance Sheet'!D$3,Overall!$B$3:$F$3,0)),"")</f>
        <v>55651707958020</v>
      </c>
      <c r="E10" s="42">
        <f>IFERROR(INDEX(Overall!$B$4:$F$77,
MATCH('Balance Sheet'!$C10,Overall!$A$4:$A$77,0),
MATCH('Balance Sheet'!E$3,Overall!$B$3:$F$3,0)),"")</f>
        <v>62217752152930</v>
      </c>
      <c r="F10" s="42">
        <f>IFERROR(INDEX(Overall!$B$4:$F$77,
MATCH('Balance Sheet'!$C10,Overall!$A$4:$A$77,0),
MATCH('Balance Sheet'!F$3,Overall!$B$3:$F$3,0)),"")</f>
        <v>57290495430038</v>
      </c>
      <c r="G10" s="42">
        <f>IFERROR(INDEX(Overall!$B$4:$F$77,
MATCH('Balance Sheet'!$C10,Overall!$A$4:$A$77,0),
MATCH('Balance Sheet'!G$3,Overall!$B$3:$F$3,0)),"")</f>
        <v>69902465635326</v>
      </c>
    </row>
    <row r="11" spans="1:7" x14ac:dyDescent="0.35">
      <c r="A11" t="s">
        <v>105</v>
      </c>
      <c r="B11" t="s">
        <v>106</v>
      </c>
      <c r="C11">
        <v>250</v>
      </c>
      <c r="D11" s="1">
        <f>IFERROR(INDEX(Overall!$B$4:$F$77,
MATCH('Balance Sheet'!$C11,Overall!$A$4:$A$77,0),
MATCH('Balance Sheet'!D$3,Overall!$B$3:$F$3,0)),"")</f>
        <v>405533457500</v>
      </c>
      <c r="E11" s="1">
        <f>IFERROR(INDEX(Overall!$B$4:$F$77,
MATCH('Balance Sheet'!$C11,Overall!$A$4:$A$77,0),
MATCH('Balance Sheet'!E$3,Overall!$B$3:$F$3,0)),"")</f>
        <v>398010821463</v>
      </c>
      <c r="F11" s="1">
        <f>IFERROR(INDEX(Overall!$B$4:$F$77,
MATCH('Balance Sheet'!$C11,Overall!$A$4:$A$77,0),
MATCH('Balance Sheet'!F$3,Overall!$B$3:$F$3,0)),"")</f>
        <v>399715385824</v>
      </c>
      <c r="G11" s="1">
        <f>IFERROR(INDEX(Overall!$B$4:$F$77,
MATCH('Balance Sheet'!$C11,Overall!$A$4:$A$77,0),
MATCH('Balance Sheet'!G$3,Overall!$B$3:$F$3,0)),"")</f>
        <v>406032256124</v>
      </c>
    </row>
    <row r="12" spans="1:7" x14ac:dyDescent="0.35">
      <c r="A12" t="s">
        <v>107</v>
      </c>
      <c r="B12" t="s">
        <v>108</v>
      </c>
      <c r="C12">
        <v>221</v>
      </c>
      <c r="D12" s="1">
        <f>IFERROR(INDEX(Overall!$B$4:$F$77,
MATCH('Balance Sheet'!$C12,Overall!$A$4:$A$77,0),
MATCH('Balance Sheet'!D$3,Overall!$B$3:$F$3,0)),"")</f>
        <v>15975936459471</v>
      </c>
      <c r="E12" s="1">
        <f>IFERROR(INDEX(Overall!$B$4:$F$77,
MATCH('Balance Sheet'!$C12,Overall!$A$4:$A$77,0),
MATCH('Balance Sheet'!E$3,Overall!$B$3:$F$3,0)),"")</f>
        <v>19144905041836</v>
      </c>
      <c r="F12" s="1">
        <f>IFERROR(INDEX(Overall!$B$4:$F$77,
MATCH('Balance Sheet'!$C12,Overall!$A$4:$A$77,0),
MATCH('Balance Sheet'!F$3,Overall!$B$3:$F$3,0)),"")</f>
        <v>17852624248675</v>
      </c>
      <c r="G12" s="1">
        <f>IFERROR(INDEX(Overall!$B$4:$F$77,
MATCH('Balance Sheet'!$C12,Overall!$A$4:$A$77,0),
MATCH('Balance Sheet'!G$3,Overall!$B$3:$F$3,0)),"")</f>
        <v>15574140285441</v>
      </c>
    </row>
    <row r="13" spans="1:7" x14ac:dyDescent="0.35">
      <c r="A13" t="s">
        <v>109</v>
      </c>
      <c r="B13" t="s">
        <v>110</v>
      </c>
      <c r="C13">
        <v>269</v>
      </c>
      <c r="D13" s="1" t="str">
        <f>IFERROR(INDEX(Overall!$B$4:$F$77,
MATCH('Balance Sheet'!$C13,Overall!$A$4:$A$77,0),
MATCH('Balance Sheet'!D$3,Overall!$B$3:$F$3,0)),"")</f>
        <v/>
      </c>
      <c r="E13" s="1" t="str">
        <f>IFERROR(INDEX(Overall!$B$4:$F$77,
MATCH('Balance Sheet'!$C13,Overall!$A$4:$A$77,0),
MATCH('Balance Sheet'!E$3,Overall!$B$3:$F$3,0)),"")</f>
        <v/>
      </c>
      <c r="F13" s="1" t="str">
        <f>IFERROR(INDEX(Overall!$B$4:$F$77,
MATCH('Balance Sheet'!$C13,Overall!$A$4:$A$77,0),
MATCH('Balance Sheet'!F$3,Overall!$B$3:$F$3,0)),"")</f>
        <v/>
      </c>
      <c r="G13" s="1" t="str">
        <f>IFERROR(INDEX(Overall!$B$4:$F$77,
MATCH('Balance Sheet'!$C13,Overall!$A$4:$A$77,0),
MATCH('Balance Sheet'!G$3,Overall!$B$3:$F$3,0)),"")</f>
        <v/>
      </c>
    </row>
    <row r="14" spans="1:7" x14ac:dyDescent="0.35">
      <c r="A14" t="s">
        <v>111</v>
      </c>
      <c r="B14" t="s">
        <v>112</v>
      </c>
      <c r="C14">
        <v>227</v>
      </c>
      <c r="D14" s="1">
        <f>IFERROR(INDEX(Overall!$B$4:$F$77,
MATCH('Balance Sheet'!$C14,Overall!$A$4:$A$77,0),
MATCH('Balance Sheet'!D$3,Overall!$B$3:$F$3,0)),"")</f>
        <v>393728381555</v>
      </c>
      <c r="E14" s="1">
        <f>IFERROR(INDEX(Overall!$B$4:$F$77,
MATCH('Balance Sheet'!$C14,Overall!$A$4:$A$77,0),
MATCH('Balance Sheet'!E$3,Overall!$B$3:$F$3,0)),"")</f>
        <v>387232909253</v>
      </c>
      <c r="F14" s="1">
        <f>IFERROR(INDEX(Overall!$B$4:$F$77,
MATCH('Balance Sheet'!$C14,Overall!$A$4:$A$77,0),
MATCH('Balance Sheet'!F$3,Overall!$B$3:$F$3,0)),"")</f>
        <v>369012352913</v>
      </c>
      <c r="G14" s="1">
        <f>IFERROR(INDEX(Overall!$B$4:$F$77,
MATCH('Balance Sheet'!$C14,Overall!$A$4:$A$77,0),
MATCH('Balance Sheet'!G$3,Overall!$B$3:$F$3,0)),"")</f>
        <v>376650723714</v>
      </c>
    </row>
    <row r="15" spans="1:7" x14ac:dyDescent="0.35">
      <c r="A15" t="s">
        <v>113</v>
      </c>
      <c r="B15" t="s">
        <v>114</v>
      </c>
      <c r="C15">
        <v>229</v>
      </c>
      <c r="D15" s="1">
        <f>IFERROR(INDEX(Overall!$B$4:$F$77,
MATCH('Balance Sheet'!$C15,Overall!$A$4:$A$77,0),
MATCH('Balance Sheet'!D$3,Overall!$B$3:$F$3,0)),"")</f>
        <v>-226420062447</v>
      </c>
      <c r="E15" s="1">
        <f>IFERROR(INDEX(Overall!$B$4:$F$77,
MATCH('Balance Sheet'!$C15,Overall!$A$4:$A$77,0),
MATCH('Balance Sheet'!E$3,Overall!$B$3:$F$3,0)),"")</f>
        <v>-258510465942</v>
      </c>
      <c r="F15" s="1">
        <f>IFERROR(INDEX(Overall!$B$4:$F$77,
MATCH('Balance Sheet'!$C15,Overall!$A$4:$A$77,0),
MATCH('Balance Sheet'!F$3,Overall!$B$3:$F$3,0)),"")</f>
        <v>-286560340134</v>
      </c>
      <c r="G15" s="1">
        <f>IFERROR(INDEX(Overall!$B$4:$F$77,
MATCH('Balance Sheet'!$C15,Overall!$A$4:$A$77,0),
MATCH('Balance Sheet'!G$3,Overall!$B$3:$F$3,0)),"")</f>
        <v>-304969426663</v>
      </c>
    </row>
    <row r="16" spans="1:7" x14ac:dyDescent="0.35">
      <c r="A16" t="s">
        <v>115</v>
      </c>
      <c r="B16" t="s">
        <v>116</v>
      </c>
      <c r="C16">
        <v>260</v>
      </c>
      <c r="D16" s="1">
        <f>IFERROR(INDEX(Overall!$B$4:$F$77,
MATCH('Balance Sheet'!$C16,Overall!$A$4:$A$77,0),
MATCH('Balance Sheet'!D$3,Overall!$B$3:$F$3,0)),"")</f>
        <v>4052685959657</v>
      </c>
      <c r="E16" s="1">
        <f>IFERROR(INDEX(Overall!$B$4:$F$77,
MATCH('Balance Sheet'!$C16,Overall!$A$4:$A$77,0),
MATCH('Balance Sheet'!E$3,Overall!$B$3:$F$3,0)),"")</f>
        <v>3475909955425</v>
      </c>
      <c r="F16" s="1">
        <f>IFERROR(INDEX(Overall!$B$4:$F$77,
MATCH('Balance Sheet'!$C16,Overall!$A$4:$A$77,0),
MATCH('Balance Sheet'!F$3,Overall!$B$3:$F$3,0)),"")</f>
        <v>3663465910698</v>
      </c>
      <c r="G16" s="1">
        <f>IFERROR(INDEX(Overall!$B$4:$F$77,
MATCH('Balance Sheet'!$C16,Overall!$A$4:$A$77,0),
MATCH('Balance Sheet'!G$3,Overall!$B$3:$F$3,0)),"")</f>
        <v>3279291799473</v>
      </c>
    </row>
    <row r="17" spans="1:7" x14ac:dyDescent="0.35">
      <c r="A17" t="s">
        <v>117</v>
      </c>
      <c r="B17" t="s">
        <v>118</v>
      </c>
      <c r="C17">
        <v>261</v>
      </c>
      <c r="D17" s="1">
        <f>IFERROR(INDEX(Overall!$B$4:$F$77,
MATCH('Balance Sheet'!$C17,Overall!$A$4:$A$77,0),
MATCH('Balance Sheet'!D$3,Overall!$B$3:$F$3,0)),"")</f>
        <v>3997897390212</v>
      </c>
      <c r="E17" s="1">
        <f>IFERROR(INDEX(Overall!$B$4:$F$77,
MATCH('Balance Sheet'!$C17,Overall!$A$4:$A$77,0),
MATCH('Balance Sheet'!E$3,Overall!$B$3:$F$3,0)),"")</f>
        <v>3435836263150</v>
      </c>
      <c r="F17" s="1">
        <f>IFERROR(INDEX(Overall!$B$4:$F$77,
MATCH('Balance Sheet'!$C17,Overall!$A$4:$A$77,0),
MATCH('Balance Sheet'!F$3,Overall!$B$3:$F$3,0)),"")</f>
        <v>3630161349445</v>
      </c>
      <c r="G17" s="1">
        <f>IFERROR(INDEX(Overall!$B$4:$F$77,
MATCH('Balance Sheet'!$C17,Overall!$A$4:$A$77,0),
MATCH('Balance Sheet'!G$3,Overall!$B$3:$F$3,0)),"")</f>
        <v>3246336630447</v>
      </c>
    </row>
    <row r="18" spans="1:7" s="45" customFormat="1" x14ac:dyDescent="0.35">
      <c r="A18" s="5" t="s">
        <v>119</v>
      </c>
      <c r="B18" s="5" t="s">
        <v>120</v>
      </c>
      <c r="C18" s="5">
        <v>270</v>
      </c>
      <c r="D18" s="42">
        <f>IFERROR(INDEX(Overall!$B$4:$F$77,
MATCH('Balance Sheet'!$C18,Overall!$A$4:$A$77,0),
MATCH('Balance Sheet'!D$3,Overall!$B$3:$F$3,0)),"")</f>
        <v>82662652366363</v>
      </c>
      <c r="E18" s="42">
        <f>IFERROR(INDEX(Overall!$B$4:$F$77,
MATCH('Balance Sheet'!$C18,Overall!$A$4:$A$77,0),
MATCH('Balance Sheet'!E$3,Overall!$B$3:$F$3,0)),"")</f>
        <v>87754455330448</v>
      </c>
      <c r="F18" s="42">
        <f>IFERROR(INDEX(Overall!$B$4:$F$77,
MATCH('Balance Sheet'!$C18,Overall!$A$4:$A$77,0),
MATCH('Balance Sheet'!F$3,Overall!$B$3:$F$3,0)),"")</f>
        <v>81854881408158</v>
      </c>
      <c r="G18" s="42">
        <f>IFERROR(INDEX(Overall!$B$4:$F$77,
MATCH('Balance Sheet'!$C18,Overall!$A$4:$A$77,0),
MATCH('Balance Sheet'!G$3,Overall!$B$3:$F$3,0)),"")</f>
        <v>93568198109790</v>
      </c>
    </row>
    <row r="19" spans="1:7" s="45" customFormat="1" x14ac:dyDescent="0.35">
      <c r="A19" s="2" t="s">
        <v>121</v>
      </c>
      <c r="B19" s="2" t="s">
        <v>122</v>
      </c>
      <c r="C19" s="2"/>
      <c r="D19" s="1" t="str">
        <f>IFERROR(INDEX(Overall!$B$4:$F$77,
MATCH('Balance Sheet'!$C19,Overall!$A$4:$A$77,0),
MATCH('Balance Sheet'!D$3,Overall!$B$3:$F$3,0)),"")</f>
        <v/>
      </c>
      <c r="E19" s="1" t="str">
        <f>IFERROR(INDEX(Overall!$B$4:$F$77,
MATCH('Balance Sheet'!$C19,Overall!$A$4:$A$77,0),
MATCH('Balance Sheet'!E$3,Overall!$B$3:$F$3,0)),"")</f>
        <v/>
      </c>
      <c r="F19" s="1" t="str">
        <f>IFERROR(INDEX(Overall!$B$4:$F$77,
MATCH('Balance Sheet'!$C19,Overall!$A$4:$A$77,0),
MATCH('Balance Sheet'!F$3,Overall!$B$3:$F$3,0)),"")</f>
        <v/>
      </c>
      <c r="G19" s="1" t="str">
        <f>IFERROR(INDEX(Overall!$B$4:$F$77,
MATCH('Balance Sheet'!$C19,Overall!$A$4:$A$77,0),
MATCH('Balance Sheet'!G$3,Overall!$B$3:$F$3,0)),"")</f>
        <v/>
      </c>
    </row>
    <row r="20" spans="1:7" x14ac:dyDescent="0.35">
      <c r="A20" t="s">
        <v>123</v>
      </c>
      <c r="B20" t="s">
        <v>124</v>
      </c>
      <c r="C20">
        <v>311</v>
      </c>
      <c r="D20" s="1">
        <f>IFERROR(INDEX(Overall!$B$4:$F$77,
MATCH('Balance Sheet'!$C20,Overall!$A$4:$A$77,0),
MATCH('Balance Sheet'!D$3,Overall!$B$3:$F$3,0)),"")</f>
        <v>6652093471748</v>
      </c>
      <c r="E20" s="1">
        <f>IFERROR(INDEX(Overall!$B$4:$F$77,
MATCH('Balance Sheet'!$C20,Overall!$A$4:$A$77,0),
MATCH('Balance Sheet'!E$3,Overall!$B$3:$F$3,0)),"")</f>
        <v>7137955519190</v>
      </c>
      <c r="F20" s="1">
        <f>IFERROR(INDEX(Overall!$B$4:$F$77,
MATCH('Balance Sheet'!$C20,Overall!$A$4:$A$77,0),
MATCH('Balance Sheet'!F$3,Overall!$B$3:$F$3,0)),"")</f>
        <v>6037010202174</v>
      </c>
      <c r="G20" s="1">
        <f>IFERROR(INDEX(Overall!$B$4:$F$77,
MATCH('Balance Sheet'!$C20,Overall!$A$4:$A$77,0),
MATCH('Balance Sheet'!G$3,Overall!$B$3:$F$3,0)),"")</f>
        <v>11925122947416</v>
      </c>
    </row>
    <row r="21" spans="1:7" x14ac:dyDescent="0.35">
      <c r="A21" t="s">
        <v>125</v>
      </c>
      <c r="B21" t="s">
        <v>126</v>
      </c>
      <c r="C21">
        <v>315</v>
      </c>
      <c r="D21" s="1">
        <f>IFERROR(INDEX(Overall!$B$4:$F$77,
MATCH('Balance Sheet'!$C21,Overall!$A$4:$A$77,0),
MATCH('Balance Sheet'!D$3,Overall!$B$3:$F$3,0)),"")</f>
        <v>2978023503077</v>
      </c>
      <c r="E21" s="1">
        <f>IFERROR(INDEX(Overall!$B$4:$F$77,
MATCH('Balance Sheet'!$C21,Overall!$A$4:$A$77,0),
MATCH('Balance Sheet'!E$3,Overall!$B$3:$F$3,0)),"")</f>
        <v>2844331963463</v>
      </c>
      <c r="F21" s="1">
        <f>IFERROR(INDEX(Overall!$B$4:$F$77,
MATCH('Balance Sheet'!$C21,Overall!$A$4:$A$77,0),
MATCH('Balance Sheet'!F$3,Overall!$B$3:$F$3,0)),"")</f>
        <v>2995123654976</v>
      </c>
      <c r="G21" s="1">
        <f>IFERROR(INDEX(Overall!$B$4:$F$77,
MATCH('Balance Sheet'!$C21,Overall!$A$4:$A$77,0),
MATCH('Balance Sheet'!G$3,Overall!$B$3:$F$3,0)),"")</f>
        <v>4226253151500</v>
      </c>
    </row>
    <row r="22" spans="1:7" x14ac:dyDescent="0.35">
      <c r="A22" t="s">
        <v>127</v>
      </c>
      <c r="B22" t="s">
        <v>128</v>
      </c>
      <c r="C22">
        <v>319</v>
      </c>
      <c r="D22" s="1">
        <f>IFERROR(INDEX(Overall!$B$4:$F$77,
MATCH('Balance Sheet'!$C22,Overall!$A$4:$A$77,0),
MATCH('Balance Sheet'!D$3,Overall!$B$3:$F$3,0)),"")</f>
        <v>836431004097</v>
      </c>
      <c r="E22" s="1">
        <f>IFERROR(INDEX(Overall!$B$4:$F$77,
MATCH('Balance Sheet'!$C22,Overall!$A$4:$A$77,0),
MATCH('Balance Sheet'!E$3,Overall!$B$3:$F$3,0)),"")</f>
        <v>624739245695</v>
      </c>
      <c r="F22" s="1">
        <f>IFERROR(INDEX(Overall!$B$4:$F$77,
MATCH('Balance Sheet'!$C22,Overall!$A$4:$A$77,0),
MATCH('Balance Sheet'!F$3,Overall!$B$3:$F$3,0)),"")</f>
        <v>373838581752</v>
      </c>
      <c r="G22" s="1">
        <f>IFERROR(INDEX(Overall!$B$4:$F$77,
MATCH('Balance Sheet'!$C22,Overall!$A$4:$A$77,0),
MATCH('Balance Sheet'!G$3,Overall!$B$3:$F$3,0)),"")</f>
        <v>333114428193</v>
      </c>
    </row>
    <row r="23" spans="1:7" s="45" customFormat="1" x14ac:dyDescent="0.35">
      <c r="A23" s="6" t="s">
        <v>129</v>
      </c>
      <c r="B23" s="6" t="s">
        <v>130</v>
      </c>
      <c r="C23" s="6">
        <v>310</v>
      </c>
      <c r="D23" s="43">
        <f>IFERROR(INDEX(Overall!$B$4:$F$77,
MATCH('Balance Sheet'!$C23,Overall!$A$4:$A$77,0),
MATCH('Balance Sheet'!D$3,Overall!$B$3:$F$3,0)),"")</f>
        <v>12487956920689</v>
      </c>
      <c r="E23" s="43">
        <f>IFERROR(INDEX(Overall!$B$4:$F$77,
MATCH('Balance Sheet'!$C23,Overall!$A$4:$A$77,0),
MATCH('Balance Sheet'!E$3,Overall!$B$3:$F$3,0)),"")</f>
        <v>14971948871764</v>
      </c>
      <c r="F23" s="43">
        <f>IFERROR(INDEX(Overall!$B$4:$F$77,
MATCH('Balance Sheet'!$C23,Overall!$A$4:$A$77,0),
MATCH('Balance Sheet'!F$3,Overall!$B$3:$F$3,0)),"")</f>
        <v>14575489059608</v>
      </c>
      <c r="G23" s="43">
        <f>IFERROR(INDEX(Overall!$B$4:$F$77,
MATCH('Balance Sheet'!$C23,Overall!$A$4:$A$77,0),
MATCH('Balance Sheet'!G$3,Overall!$B$3:$F$3,0)),"")</f>
        <v>20573719389418</v>
      </c>
    </row>
    <row r="24" spans="1:7" x14ac:dyDescent="0.35">
      <c r="A24" t="s">
        <v>131</v>
      </c>
      <c r="B24" t="s">
        <v>132</v>
      </c>
      <c r="C24">
        <v>330</v>
      </c>
      <c r="D24" s="1">
        <f>IFERROR(INDEX(Overall!$B$4:$F$77,
MATCH('Balance Sheet'!$C24,Overall!$A$4:$A$77,0),
MATCH('Balance Sheet'!D$3,Overall!$B$3:$F$3,0)),"")</f>
        <v>9001131890533</v>
      </c>
      <c r="E24" s="1">
        <f>IFERROR(INDEX(Overall!$B$4:$F$77,
MATCH('Balance Sheet'!$C24,Overall!$A$4:$A$77,0),
MATCH('Balance Sheet'!E$3,Overall!$B$3:$F$3,0)),"")</f>
        <v>7483886184291</v>
      </c>
      <c r="F24" s="1">
        <f>IFERROR(INDEX(Overall!$B$4:$F$77,
MATCH('Balance Sheet'!$C24,Overall!$A$4:$A$77,0),
MATCH('Balance Sheet'!F$3,Overall!$B$3:$F$3,0)),"")</f>
        <v>5708397082920</v>
      </c>
      <c r="G24" s="1">
        <f>IFERROR(INDEX(Overall!$B$4:$F$77,
MATCH('Balance Sheet'!$C24,Overall!$A$4:$A$77,0),
MATCH('Balance Sheet'!G$3,Overall!$B$3:$F$3,0)),"")</f>
        <v>5341089602435</v>
      </c>
    </row>
    <row r="25" spans="1:7" x14ac:dyDescent="0.35">
      <c r="A25" t="s">
        <v>133</v>
      </c>
      <c r="B25" t="s">
        <v>134</v>
      </c>
      <c r="C25">
        <v>337</v>
      </c>
      <c r="D25" s="1">
        <f>IFERROR(INDEX(Overall!$B$4:$F$77,
MATCH('Balance Sheet'!$C25,Overall!$A$4:$A$77,0),
MATCH('Balance Sheet'!D$3,Overall!$B$3:$F$3,0)),"")</f>
        <v>140713909427</v>
      </c>
      <c r="E25" s="1">
        <f>IFERROR(INDEX(Overall!$B$4:$F$77,
MATCH('Balance Sheet'!$C25,Overall!$A$4:$A$77,0),
MATCH('Balance Sheet'!E$3,Overall!$B$3:$F$3,0)),"")</f>
        <v>156066914797</v>
      </c>
      <c r="F25" s="1">
        <f>IFERROR(INDEX(Overall!$B$4:$F$77,
MATCH('Balance Sheet'!$C25,Overall!$A$4:$A$77,0),
MATCH('Balance Sheet'!F$3,Overall!$B$3:$F$3,0)),"")</f>
        <v>129700198659</v>
      </c>
      <c r="G25" s="1">
        <f>IFERROR(INDEX(Overall!$B$4:$F$77,
MATCH('Balance Sheet'!$C25,Overall!$A$4:$A$77,0),
MATCH('Balance Sheet'!G$3,Overall!$B$3:$F$3,0)),"")</f>
        <v>109883490101</v>
      </c>
    </row>
    <row r="26" spans="1:7" x14ac:dyDescent="0.35">
      <c r="A26" t="s">
        <v>135</v>
      </c>
      <c r="B26" t="s">
        <v>136</v>
      </c>
      <c r="C26">
        <v>341</v>
      </c>
      <c r="D26" s="1">
        <f>IFERROR(INDEX(Overall!$B$4:$F$77,
MATCH('Balance Sheet'!$C26,Overall!$A$4:$A$77,0),
MATCH('Balance Sheet'!D$3,Overall!$B$3:$F$3,0)),"")</f>
        <v>253194790414</v>
      </c>
      <c r="E26" s="1">
        <f>IFERROR(INDEX(Overall!$B$4:$F$77,
MATCH('Balance Sheet'!$C26,Overall!$A$4:$A$77,0),
MATCH('Balance Sheet'!E$3,Overall!$B$3:$F$3,0)),"")</f>
        <v>279708433761</v>
      </c>
      <c r="F26" s="1">
        <f>IFERROR(INDEX(Overall!$B$4:$F$77,
MATCH('Balance Sheet'!$C26,Overall!$A$4:$A$77,0),
MATCH('Balance Sheet'!F$3,Overall!$B$3:$F$3,0)),"")</f>
        <v>293780671709</v>
      </c>
      <c r="G26" s="1">
        <f>IFERROR(INDEX(Overall!$B$4:$F$77,
MATCH('Balance Sheet'!$C26,Overall!$A$4:$A$77,0),
MATCH('Balance Sheet'!G$3,Overall!$B$3:$F$3,0)),"")</f>
        <v>283528428389</v>
      </c>
    </row>
    <row r="27" spans="1:7" x14ac:dyDescent="0.35">
      <c r="A27" t="s">
        <v>65</v>
      </c>
      <c r="B27" t="s">
        <v>66</v>
      </c>
      <c r="C27">
        <v>429</v>
      </c>
      <c r="D27" s="1">
        <f>IFERROR(INDEX(Overall!$B$4:$F$77,
MATCH('Balance Sheet'!$C27,Overall!$A$4:$A$77,0),
MATCH('Balance Sheet'!D$3,Overall!$B$3:$F$3,0)),"")</f>
        <v>1315888895212</v>
      </c>
      <c r="E27" s="1">
        <f>IFERROR(INDEX(Overall!$B$4:$F$77,
MATCH('Balance Sheet'!$C27,Overall!$A$4:$A$77,0),
MATCH('Balance Sheet'!E$3,Overall!$B$3:$F$3,0)),"")</f>
        <v>1249889464218</v>
      </c>
      <c r="F27" s="1">
        <f>IFERROR(INDEX(Overall!$B$4:$F$77,
MATCH('Balance Sheet'!$C27,Overall!$A$4:$A$77,0),
MATCH('Balance Sheet'!F$3,Overall!$B$3:$F$3,0)),"")</f>
        <v>1323213381181</v>
      </c>
      <c r="G27" s="1">
        <f>IFERROR(INDEX(Overall!$B$4:$F$77,
MATCH('Balance Sheet'!$C27,Overall!$A$4:$A$77,0),
MATCH('Balance Sheet'!G$3,Overall!$B$3:$F$3,0)),"")</f>
        <v>1358410438814</v>
      </c>
    </row>
    <row r="28" spans="1:7" x14ac:dyDescent="0.35">
      <c r="A28" t="s">
        <v>137</v>
      </c>
      <c r="B28" t="s">
        <v>138</v>
      </c>
      <c r="D28" s="1" t="str">
        <f>IFERROR(INDEX(Overall!$B$4:$F$77,
MATCH('Balance Sheet'!$C28,Overall!$A$4:$A$77,0),
MATCH('Balance Sheet'!D$3,Overall!$B$3:$F$3,0)),"")</f>
        <v/>
      </c>
      <c r="E28" s="1" t="str">
        <f>IFERROR(INDEX(Overall!$B$4:$F$77,
MATCH('Balance Sheet'!$C28,Overall!$A$4:$A$77,0),
MATCH('Balance Sheet'!E$3,Overall!$B$3:$F$3,0)),"")</f>
        <v/>
      </c>
      <c r="F28" s="1" t="str">
        <f>IFERROR(INDEX(Overall!$B$4:$F$77,
MATCH('Balance Sheet'!$C28,Overall!$A$4:$A$77,0),
MATCH('Balance Sheet'!F$3,Overall!$B$3:$F$3,0)),"")</f>
        <v/>
      </c>
      <c r="G28" s="1" t="str">
        <f>IFERROR(INDEX(Overall!$B$4:$F$77,
MATCH('Balance Sheet'!$C28,Overall!$A$4:$A$77,0),
MATCH('Balance Sheet'!G$3,Overall!$B$3:$F$3,0)),"")</f>
        <v/>
      </c>
    </row>
    <row r="29" spans="1:7" s="45" customFormat="1" x14ac:dyDescent="0.35">
      <c r="A29" s="6" t="s">
        <v>139</v>
      </c>
      <c r="B29" s="6" t="s">
        <v>140</v>
      </c>
      <c r="C29" s="6">
        <v>400</v>
      </c>
      <c r="D29" s="43">
        <f>IFERROR(INDEX(Overall!$B$4:$F$77,
MATCH('Balance Sheet'!$C29,Overall!$A$4:$A$77,0),
MATCH('Balance Sheet'!D$3,Overall!$B$3:$F$3,0)),"")</f>
        <v>61173563555141</v>
      </c>
      <c r="E29" s="43">
        <f>IFERROR(INDEX(Overall!$B$4:$F$77,
MATCH('Balance Sheet'!$C29,Overall!$A$4:$A$77,0),
MATCH('Balance Sheet'!E$3,Overall!$B$3:$F$3,0)),"")</f>
        <v>65298620274393</v>
      </c>
      <c r="F29" s="43">
        <f>IFERROR(INDEX(Overall!$B$4:$F$77,
MATCH('Balance Sheet'!$C29,Overall!$A$4:$A$77,0),
MATCH('Balance Sheet'!F$3,Overall!$B$3:$F$3,0)),"")</f>
        <v>61570995265630</v>
      </c>
      <c r="G29" s="43">
        <f>IFERROR(INDEX(Overall!$B$4:$F$77,
MATCH('Balance Sheet'!$C29,Overall!$A$4:$A$77,0),
MATCH('Balance Sheet'!G$3,Overall!$B$3:$F$3,0)),"")</f>
        <v>67653389117937</v>
      </c>
    </row>
    <row r="30" spans="1:7" s="45" customFormat="1" x14ac:dyDescent="0.35">
      <c r="A30" s="2" t="s">
        <v>141</v>
      </c>
      <c r="B30" s="2" t="s">
        <v>142</v>
      </c>
      <c r="C30" s="2"/>
      <c r="D30" s="1" t="str">
        <f>IFERROR(INDEX(Overall!$B$4:$F$77,
MATCH('Balance Sheet'!$C30,Overall!$A$4:$A$77,0),
MATCH('Balance Sheet'!D$3,Overall!$B$3:$F$3,0)),"")</f>
        <v/>
      </c>
      <c r="E30" s="1" t="str">
        <f>IFERROR(INDEX(Overall!$B$4:$F$77,
MATCH('Balance Sheet'!$C30,Overall!$A$4:$A$77,0),
MATCH('Balance Sheet'!E$3,Overall!$B$3:$F$3,0)),"")</f>
        <v/>
      </c>
      <c r="F30" s="1" t="str">
        <f>IFERROR(INDEX(Overall!$B$4:$F$77,
MATCH('Balance Sheet'!$C30,Overall!$A$4:$A$77,0),
MATCH('Balance Sheet'!F$3,Overall!$B$3:$F$3,0)),"")</f>
        <v/>
      </c>
      <c r="G30" s="1" t="str">
        <f>IFERROR(INDEX(Overall!$B$4:$F$77,
MATCH('Balance Sheet'!$C30,Overall!$A$4:$A$77,0),
MATCH('Balance Sheet'!G$3,Overall!$B$3:$F$3,0)),"")</f>
        <v/>
      </c>
    </row>
    <row r="31" spans="1:7" x14ac:dyDescent="0.35">
      <c r="A31" t="s">
        <v>143</v>
      </c>
      <c r="B31" t="s">
        <v>144</v>
      </c>
      <c r="D31" s="1" t="str">
        <f>IFERROR(INDEX(Overall!$B$4:$F$77,
MATCH('Balance Sheet'!$C31,Overall!$A$4:$A$77,0),
MATCH('Balance Sheet'!D$3,Overall!$B$3:$F$3,0)),"")</f>
        <v/>
      </c>
      <c r="E31" s="1" t="str">
        <f>IFERROR(INDEX(Overall!$B$4:$F$77,
MATCH('Balance Sheet'!$C31,Overall!$A$4:$A$77,0),
MATCH('Balance Sheet'!E$3,Overall!$B$3:$F$3,0)),"")</f>
        <v/>
      </c>
      <c r="F31" s="1" t="str">
        <f>IFERROR(INDEX(Overall!$B$4:$F$77,
MATCH('Balance Sheet'!$C31,Overall!$A$4:$A$77,0),
MATCH('Balance Sheet'!F$3,Overall!$B$3:$F$3,0)),"")</f>
        <v/>
      </c>
      <c r="G31" s="1" t="str">
        <f>IFERROR(INDEX(Overall!$B$4:$F$77,
MATCH('Balance Sheet'!$C31,Overall!$A$4:$A$77,0),
MATCH('Balance Sheet'!G$3,Overall!$B$3:$F$3,0)),"")</f>
        <v/>
      </c>
    </row>
    <row r="32" spans="1:7" x14ac:dyDescent="0.35">
      <c r="A32" t="s">
        <v>145</v>
      </c>
      <c r="B32" t="s">
        <v>146</v>
      </c>
      <c r="C32">
        <v>411</v>
      </c>
      <c r="D32" s="1">
        <f>IFERROR(INDEX(Overall!$B$4:$F$77,
MATCH('Balance Sheet'!$C32,Overall!$A$4:$A$77,0),
MATCH('Balance Sheet'!D$3,Overall!$B$3:$F$3,0)),"")</f>
        <v>19139500000000</v>
      </c>
      <c r="E32" s="1">
        <f>IFERROR(INDEX(Overall!$B$4:$F$77,
MATCH('Balance Sheet'!$C32,Overall!$A$4:$A$77,0),
MATCH('Balance Sheet'!E$3,Overall!$B$3:$F$3,0)),"")</f>
        <v>22967398470000</v>
      </c>
      <c r="F32" s="1">
        <f>IFERROR(INDEX(Overall!$B$4:$F$77,
MATCH('Balance Sheet'!$C32,Overall!$A$4:$A$77,0),
MATCH('Balance Sheet'!F$3,Overall!$B$3:$F$3,0)),"")</f>
        <v>23426729190000</v>
      </c>
      <c r="G32" s="1">
        <f>IFERROR(INDEX(Overall!$B$4:$F$77,
MATCH('Balance Sheet'!$C32,Overall!$A$4:$A$77,0),
MATCH('Balance Sheet'!G$3,Overall!$B$3:$F$3,0)),"")</f>
        <v>24129497560000</v>
      </c>
    </row>
    <row r="33" spans="1:7" x14ac:dyDescent="0.35">
      <c r="A33" t="s">
        <v>147</v>
      </c>
      <c r="B33" t="s">
        <v>148</v>
      </c>
      <c r="D33" s="1" t="str">
        <f>IFERROR(INDEX(Overall!$B$4:$F$77,
MATCH('Balance Sheet'!$C33,Overall!$A$4:$A$77,0),
MATCH('Balance Sheet'!D$3,Overall!$B$3:$F$3,0)),"")</f>
        <v/>
      </c>
      <c r="E33" s="1" t="str">
        <f>IFERROR(INDEX(Overall!$B$4:$F$77,
MATCH('Balance Sheet'!$C33,Overall!$A$4:$A$77,0),
MATCH('Balance Sheet'!E$3,Overall!$B$3:$F$3,0)),"")</f>
        <v/>
      </c>
      <c r="F33" s="1" t="str">
        <f>IFERROR(INDEX(Overall!$B$4:$F$77,
MATCH('Balance Sheet'!$C33,Overall!$A$4:$A$77,0),
MATCH('Balance Sheet'!F$3,Overall!$B$3:$F$3,0)),"")</f>
        <v/>
      </c>
      <c r="G33" s="1" t="str">
        <f>IFERROR(INDEX(Overall!$B$4:$F$77,
MATCH('Balance Sheet'!$C33,Overall!$A$4:$A$77,0),
MATCH('Balance Sheet'!G$3,Overall!$B$3:$F$3,0)),"")</f>
        <v/>
      </c>
    </row>
    <row r="34" spans="1:7" x14ac:dyDescent="0.35">
      <c r="A34" t="s">
        <v>149</v>
      </c>
      <c r="B34" t="s">
        <v>150</v>
      </c>
      <c r="C34" t="s">
        <v>258</v>
      </c>
      <c r="D34" s="1">
        <f>IFERROR(INDEX(Overall!$B$4:$F$77,
MATCH('Balance Sheet'!$C34,Overall!$A$4:$A$77,0),
MATCH('Balance Sheet'!D$3,Overall!$B$3:$F$3,0)),"")</f>
        <v>19139500000000</v>
      </c>
      <c r="E34" s="1">
        <f>IFERROR(INDEX(Overall!$B$4:$F$77,
MATCH('Balance Sheet'!$C34,Overall!$A$4:$A$77,0),
MATCH('Balance Sheet'!E$3,Overall!$B$3:$F$3,0)),"")</f>
        <v>22967398470000</v>
      </c>
      <c r="F34" s="1">
        <f>IFERROR(INDEX(Overall!$B$4:$F$77,
MATCH('Balance Sheet'!$C34,Overall!$A$4:$A$77,0),
MATCH('Balance Sheet'!F$3,Overall!$B$3:$F$3,0)),"")</f>
        <v>23426729190000</v>
      </c>
      <c r="G34" s="1">
        <f>IFERROR(INDEX(Overall!$B$4:$F$77,
MATCH('Balance Sheet'!$C34,Overall!$A$4:$A$77,0),
MATCH('Balance Sheet'!G$3,Overall!$B$3:$F$3,0)),"")</f>
        <v>24129497560000</v>
      </c>
    </row>
    <row r="35" spans="1:7" x14ac:dyDescent="0.35">
      <c r="A35" t="s">
        <v>151</v>
      </c>
      <c r="B35" t="s">
        <v>152</v>
      </c>
      <c r="C35">
        <v>421</v>
      </c>
      <c r="D35" s="1">
        <f>IFERROR(INDEX(Overall!$B$4:$F$77,
MATCH('Balance Sheet'!$C35,Overall!$A$4:$A$77,0),
MATCH('Balance Sheet'!D$3,Overall!$B$3:$F$3,0)),"")</f>
        <v>19241492510616</v>
      </c>
      <c r="E35" s="1">
        <f>IFERROR(INDEX(Overall!$B$4:$F$77,
MATCH('Balance Sheet'!$C35,Overall!$A$4:$A$77,0),
MATCH('Balance Sheet'!E$3,Overall!$B$3:$F$3,0)),"")</f>
        <v>16879761088028</v>
      </c>
      <c r="F35" s="1">
        <f>IFERROR(INDEX(Overall!$B$4:$F$77,
MATCH('Balance Sheet'!$C35,Overall!$A$4:$A$77,0),
MATCH('Balance Sheet'!F$3,Overall!$B$3:$F$3,0)),"")</f>
        <v>9553019715422</v>
      </c>
      <c r="G35" s="1">
        <f>IFERROR(INDEX(Overall!$B$4:$F$77,
MATCH('Balance Sheet'!$C35,Overall!$A$4:$A$77,0),
MATCH('Balance Sheet'!G$3,Overall!$B$3:$F$3,0)),"")</f>
        <v>12484110062726</v>
      </c>
    </row>
    <row r="36" spans="1:7" x14ac:dyDescent="0.35">
      <c r="A36" t="s">
        <v>153</v>
      </c>
      <c r="B36" t="s">
        <v>154</v>
      </c>
      <c r="D36" s="1" t="str">
        <f>IFERROR(INDEX(Overall!$B$4:$F$77,
MATCH('Balance Sheet'!$C36,Overall!$A$4:$A$77,0),
MATCH('Balance Sheet'!D$3,Overall!$B$3:$F$3,0)),"")</f>
        <v/>
      </c>
      <c r="E36" s="1" t="str">
        <f>IFERROR(INDEX(Overall!$B$4:$F$77,
MATCH('Balance Sheet'!$C36,Overall!$A$4:$A$77,0),
MATCH('Balance Sheet'!E$3,Overall!$B$3:$F$3,0)),"")</f>
        <v/>
      </c>
      <c r="F36" s="1" t="str">
        <f>IFERROR(INDEX(Overall!$B$4:$F$77,
MATCH('Balance Sheet'!$C36,Overall!$A$4:$A$77,0),
MATCH('Balance Sheet'!F$3,Overall!$B$3:$F$3,0)),"")</f>
        <v/>
      </c>
      <c r="G36" s="1" t="str">
        <f>IFERROR(INDEX(Overall!$B$4:$F$77,
MATCH('Balance Sheet'!$C36,Overall!$A$4:$A$77,0),
MATCH('Balance Sheet'!G$3,Overall!$B$3:$F$3,0)),"")</f>
        <v/>
      </c>
    </row>
    <row r="37" spans="1:7" x14ac:dyDescent="0.35">
      <c r="A37" t="s">
        <v>155</v>
      </c>
      <c r="B37" t="s">
        <v>156</v>
      </c>
      <c r="C37">
        <v>412</v>
      </c>
      <c r="D37" s="1">
        <f>IFERROR(INDEX(Overall!$B$4:$F$77,
MATCH('Balance Sheet'!$C37,Overall!$A$4:$A$77,0),
MATCH('Balance Sheet'!D$3,Overall!$B$3:$F$3,0)),"")</f>
        <v>210679541297</v>
      </c>
      <c r="E37" s="1">
        <f>IFERROR(INDEX(Overall!$B$4:$F$77,
MATCH('Balance Sheet'!$C37,Overall!$A$4:$A$77,0),
MATCH('Balance Sheet'!E$3,Overall!$B$3:$F$3,0)),"")</f>
        <v>246727266</v>
      </c>
      <c r="F37" s="1">
        <f>IFERROR(INDEX(Overall!$B$4:$F$77,
MATCH('Balance Sheet'!$C37,Overall!$A$4:$A$77,0),
MATCH('Balance Sheet'!F$3,Overall!$B$3:$F$3,0)),"")</f>
        <v>246727266</v>
      </c>
      <c r="G37" s="1">
        <f>IFERROR(INDEX(Overall!$B$4:$F$77,
MATCH('Balance Sheet'!$C37,Overall!$A$4:$A$77,0),
MATCH('Balance Sheet'!G$3,Overall!$B$3:$F$3,0)),"")</f>
        <v>246727266</v>
      </c>
    </row>
    <row r="38" spans="1:7" x14ac:dyDescent="0.35">
      <c r="A38" t="s">
        <v>157</v>
      </c>
      <c r="B38" t="s">
        <v>158</v>
      </c>
      <c r="C38">
        <v>414</v>
      </c>
      <c r="D38" s="1">
        <f>IFERROR(INDEX(Overall!$B$4:$F$77,
MATCH('Balance Sheet'!$C38,Overall!$A$4:$A$77,0),
MATCH('Balance Sheet'!D$3,Overall!$B$3:$F$3,0)),"")</f>
        <v>196658562648</v>
      </c>
      <c r="E38" s="1">
        <f>IFERROR(INDEX(Overall!$B$4:$F$77,
MATCH('Balance Sheet'!$C38,Overall!$A$4:$A$77,0),
MATCH('Balance Sheet'!E$3,Overall!$B$3:$F$3,0)),"")</f>
        <v>282322856474</v>
      </c>
      <c r="F38" s="1">
        <f>IFERROR(INDEX(Overall!$B$4:$F$77,
MATCH('Balance Sheet'!$C38,Overall!$A$4:$A$77,0),
MATCH('Balance Sheet'!F$3,Overall!$B$3:$F$3,0)),"")</f>
        <v>300272460670</v>
      </c>
      <c r="G38" s="1">
        <f>IFERROR(INDEX(Overall!$B$4:$F$77,
MATCH('Balance Sheet'!$C38,Overall!$A$4:$A$77,0),
MATCH('Balance Sheet'!G$3,Overall!$B$3:$F$3,0)),"")</f>
        <v>300272460670</v>
      </c>
    </row>
    <row r="39" spans="1:7" x14ac:dyDescent="0.35">
      <c r="A39" t="s">
        <v>159</v>
      </c>
      <c r="B39" t="s">
        <v>160</v>
      </c>
      <c r="C39">
        <v>410</v>
      </c>
      <c r="D39" s="1">
        <f>IFERROR(INDEX(Overall!$B$4:$F$77,
MATCH('Balance Sheet'!$C39,Overall!$A$4:$A$77,0),
MATCH('Balance Sheet'!D$3,Overall!$B$3:$F$3,0)),"")</f>
        <v>61173563555141</v>
      </c>
      <c r="E39" s="1">
        <f>IFERROR(INDEX(Overall!$B$4:$F$77,
MATCH('Balance Sheet'!$C39,Overall!$A$4:$A$77,0),
MATCH('Balance Sheet'!E$3,Overall!$B$3:$F$3,0)),"")</f>
        <v>65298620274393</v>
      </c>
      <c r="F39" s="1">
        <f>IFERROR(INDEX(Overall!$B$4:$F$77,
MATCH('Balance Sheet'!$C39,Overall!$A$4:$A$77,0),
MATCH('Balance Sheet'!F$3,Overall!$B$3:$F$3,0)),"")</f>
        <v>61570995265630</v>
      </c>
      <c r="G39" s="1">
        <f>IFERROR(INDEX(Overall!$B$4:$F$77,
MATCH('Balance Sheet'!$C39,Overall!$A$4:$A$77,0),
MATCH('Balance Sheet'!G$3,Overall!$B$3:$F$3,0)),"")</f>
        <v>67653389117937</v>
      </c>
    </row>
    <row r="40" spans="1:7" s="45" customFormat="1" x14ac:dyDescent="0.35">
      <c r="A40" s="2" t="s">
        <v>161</v>
      </c>
      <c r="B40" s="2" t="s">
        <v>162</v>
      </c>
      <c r="C40" s="11"/>
      <c r="D40" s="1" t="str">
        <f>IFERROR(INDEX(Overall!$B$4:$F$77,
MATCH('Balance Sheet'!$C40,Overall!$A$4:$A$77,0),
MATCH('Balance Sheet'!D$3,Overall!$B$3:$F$3,0)),"")</f>
        <v/>
      </c>
      <c r="E40" s="1" t="str">
        <f>IFERROR(INDEX(Overall!$B$4:$F$77,
MATCH('Balance Sheet'!$C40,Overall!$A$4:$A$77,0),
MATCH('Balance Sheet'!E$3,Overall!$B$3:$F$3,0)),"")</f>
        <v/>
      </c>
      <c r="F40" s="1" t="str">
        <f>IFERROR(INDEX(Overall!$B$4:$F$77,
MATCH('Balance Sheet'!$C40,Overall!$A$4:$A$77,0),
MATCH('Balance Sheet'!F$3,Overall!$B$3:$F$3,0)),"")</f>
        <v/>
      </c>
      <c r="G40" s="1" t="str">
        <f>IFERROR(INDEX(Overall!$B$4:$F$77,
MATCH('Balance Sheet'!$C40,Overall!$A$4:$A$77,0),
MATCH('Balance Sheet'!G$3,Overall!$B$3:$F$3,0)),"")</f>
        <v/>
      </c>
    </row>
  </sheetData>
  <conditionalFormatting sqref="C1:C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0F44-E926-4B18-B203-13D748224FDA}">
  <dimension ref="A1:H32"/>
  <sheetViews>
    <sheetView showGridLines="0" zoomScaleNormal="100" workbookViewId="0">
      <selection activeCell="C11" sqref="C11"/>
    </sheetView>
  </sheetViews>
  <sheetFormatPr defaultRowHeight="14.5" x14ac:dyDescent="0.35"/>
  <cols>
    <col min="1" max="1" width="35.36328125" bestFit="1" customWidth="1"/>
    <col min="2" max="2" width="40.08984375" bestFit="1" customWidth="1"/>
    <col min="3" max="3" width="12.81640625" customWidth="1"/>
    <col min="4" max="4" width="36.6328125" bestFit="1" customWidth="1"/>
    <col min="5" max="6" width="36.6328125" customWidth="1"/>
    <col min="7" max="7" width="26" bestFit="1" customWidth="1"/>
    <col min="8" max="8" width="26" style="44" customWidth="1"/>
    <col min="9" max="9" width="40.90625" style="44" bestFit="1" customWidth="1"/>
    <col min="10" max="10" width="10.453125" style="44" bestFit="1" customWidth="1"/>
    <col min="11" max="11" width="5.54296875" style="44" bestFit="1" customWidth="1"/>
    <col min="12" max="12" width="42.26953125" style="44" bestFit="1" customWidth="1"/>
    <col min="13" max="13" width="11.1796875" style="44" bestFit="1" customWidth="1"/>
    <col min="14" max="15" width="12.26953125" style="44" bestFit="1" customWidth="1"/>
    <col min="16" max="16384" width="8.7265625" style="44"/>
  </cols>
  <sheetData>
    <row r="1" spans="1:8" ht="18.5" x14ac:dyDescent="0.45">
      <c r="A1" s="46" t="s">
        <v>89</v>
      </c>
      <c r="B1" s="46"/>
      <c r="C1" s="46"/>
      <c r="D1" s="46"/>
      <c r="E1" s="46"/>
      <c r="F1" s="46"/>
      <c r="G1" s="46"/>
    </row>
    <row r="2" spans="1:8" x14ac:dyDescent="0.35">
      <c r="A2" s="51" t="s">
        <v>318</v>
      </c>
      <c r="B2" s="51" t="s">
        <v>275</v>
      </c>
    </row>
    <row r="3" spans="1:8" x14ac:dyDescent="0.35">
      <c r="A3" s="47"/>
      <c r="B3" s="47"/>
      <c r="C3" s="47" t="s">
        <v>0</v>
      </c>
      <c r="D3" s="47">
        <v>2022</v>
      </c>
      <c r="E3" s="47">
        <v>2023</v>
      </c>
      <c r="F3" s="47">
        <v>2024</v>
      </c>
      <c r="G3" s="47">
        <v>2025</v>
      </c>
    </row>
    <row r="4" spans="1:8" s="48" customFormat="1" x14ac:dyDescent="0.35">
      <c r="A4" s="3" t="s">
        <v>32</v>
      </c>
      <c r="B4" s="3" t="s">
        <v>33</v>
      </c>
      <c r="C4" s="3"/>
      <c r="D4" s="3"/>
      <c r="E4" s="3"/>
      <c r="F4" s="3"/>
      <c r="G4" s="3"/>
    </row>
    <row r="5" spans="1:8" x14ac:dyDescent="0.35">
      <c r="A5" t="s">
        <v>34</v>
      </c>
      <c r="B5" t="s">
        <v>35</v>
      </c>
      <c r="C5">
        <v>1</v>
      </c>
      <c r="D5" s="16">
        <f>IFERROR(INDEX(Overall!$A$81:$F$103,
MATCH('Income Statement'!$C5,Overall!$A$81:$A$103,0),
MATCH('Income Statement'!D$3,Overall!$A$80:$F$80,0)),"")</f>
        <v>100723549227433</v>
      </c>
      <c r="E5" s="16">
        <f>IFERROR(INDEX(Overall!$A$81:$F$103,
MATCH('Income Statement'!$C5,Overall!$A$81:$A$103,0),
MATCH('Income Statement'!E$3,Overall!$A$80:$F$80,0)),"")</f>
        <v>90014136902542</v>
      </c>
      <c r="F5" s="16">
        <f>IFERROR(INDEX(Overall!$A$81:$F$103,
MATCH('Income Statement'!$C5,Overall!$A$81:$A$103,0),
MATCH('Income Statement'!F$3,Overall!$A$80:$F$80,0)),"")</f>
        <v>103603614927247</v>
      </c>
      <c r="G5" s="16">
        <f>IFERROR(INDEX(Overall!$A$81:$F$103,
MATCH('Income Statement'!$C5,Overall!$A$81:$A$103,0),
MATCH('Income Statement'!G$3,Overall!$A$80:$F$80,0)),"")</f>
        <v>135196548909363</v>
      </c>
      <c r="H5" s="49"/>
    </row>
    <row r="6" spans="1:8" x14ac:dyDescent="0.35">
      <c r="A6" t="s">
        <v>36</v>
      </c>
      <c r="B6" t="s">
        <v>37</v>
      </c>
      <c r="C6">
        <v>11</v>
      </c>
      <c r="D6" s="16">
        <f>IFERROR(INDEX(Overall!$A$81:$F$103,
MATCH('Income Statement'!$C6,Overall!$A$81:$A$103,0),
MATCH('Income Statement'!D$3,Overall!$A$80:$F$80,0)),"")</f>
        <v>79409012569544</v>
      </c>
      <c r="E6" s="16">
        <f>IFERROR(INDEX(Overall!$A$81:$F$103,
MATCH('Income Statement'!$C6,Overall!$A$81:$A$103,0),
MATCH('Income Statement'!E$3,Overall!$A$80:$F$80,0)),"")</f>
        <v>73028985057627</v>
      </c>
      <c r="F6" s="16">
        <f>IFERROR(INDEX(Overall!$A$81:$F$103,
MATCH('Income Statement'!$C6,Overall!$A$81:$A$103,0),
MATCH('Income Statement'!F$3,Overall!$A$80:$F$80,0)),"")</f>
        <v>85909769124140</v>
      </c>
      <c r="G6" s="16">
        <f>IFERROR(INDEX(Overall!$A$81:$F$103,
MATCH('Income Statement'!$C6,Overall!$A$81:$A$103,0),
MATCH('Income Statement'!G$3,Overall!$A$80:$F$80,0)),"")</f>
        <v>118078501968730</v>
      </c>
      <c r="H6" s="49"/>
    </row>
    <row r="7" spans="1:8" x14ac:dyDescent="0.35">
      <c r="A7" s="4" t="s">
        <v>38</v>
      </c>
      <c r="B7" s="4" t="s">
        <v>39</v>
      </c>
      <c r="C7" s="4">
        <v>20</v>
      </c>
      <c r="D7" s="50">
        <f>IFERROR(INDEX(Overall!$A$81:$F$103,
MATCH('Income Statement'!$C7,Overall!$A$81:$A$103,0),
MATCH('Income Statement'!D$3,Overall!$A$80:$F$80,0)),"")</f>
        <v>21314536657889</v>
      </c>
      <c r="E7" s="50">
        <f>IFERROR(INDEX(Overall!$A$81:$F$103,
MATCH('Income Statement'!$C7,Overall!$A$81:$A$103,0),
MATCH('Income Statement'!E$3,Overall!$A$80:$F$80,0)),"")</f>
        <v>16924921455698</v>
      </c>
      <c r="F7" s="50">
        <f>IFERROR(INDEX(Overall!$A$81:$F$103,
MATCH('Income Statement'!$C7,Overall!$A$81:$A$103,0),
MATCH('Income Statement'!F$3,Overall!$A$80:$F$80,0)),"")</f>
        <v>17654357438748</v>
      </c>
      <c r="G7" s="50">
        <f>IFERROR(INDEX(Overall!$A$81:$F$103,
MATCH('Income Statement'!$C7,Overall!$A$81:$A$103,0),
MATCH('Income Statement'!G$3,Overall!$A$80:$F$80,0)),"")</f>
        <v>17050553359665</v>
      </c>
      <c r="H7" s="49"/>
    </row>
    <row r="8" spans="1:8" x14ac:dyDescent="0.35">
      <c r="A8" s="2" t="s">
        <v>40</v>
      </c>
      <c r="B8" s="2" t="s">
        <v>41</v>
      </c>
      <c r="D8" s="16" t="str">
        <f>IFERROR(INDEX(Overall!$A$81:$F$103,
MATCH('Income Statement'!$C8,Overall!$A$81:$A$103,0),
MATCH('Income Statement'!D$3,Overall!$A$80:$F$80,0)),"")</f>
        <v/>
      </c>
      <c r="E8" s="16" t="str">
        <f>IFERROR(INDEX(Overall!$A$81:$F$103,
MATCH('Income Statement'!$C8,Overall!$A$81:$A$103,0),
MATCH('Income Statement'!E$3,Overall!$A$80:$F$80,0)),"")</f>
        <v/>
      </c>
      <c r="F8" s="16" t="str">
        <f>IFERROR(INDEX(Overall!$A$81:$F$103,
MATCH('Income Statement'!$C8,Overall!$A$81:$A$103,0),
MATCH('Income Statement'!F$3,Overall!$A$80:$F$80,0)),"")</f>
        <v/>
      </c>
      <c r="G8" s="16" t="str">
        <f>IFERROR(INDEX(Overall!$A$81:$F$103,
MATCH('Income Statement'!$C8,Overall!$A$81:$A$103,0),
MATCH('Income Statement'!G$3,Overall!$A$80:$F$80,0)),"")</f>
        <v/>
      </c>
      <c r="H8" s="49"/>
    </row>
    <row r="9" spans="1:8" x14ac:dyDescent="0.35">
      <c r="A9" t="s">
        <v>42</v>
      </c>
      <c r="B9" t="s">
        <v>43</v>
      </c>
      <c r="C9">
        <v>0</v>
      </c>
      <c r="D9" s="16" t="str">
        <f>IFERROR(INDEX(Overall!$A$81:$F$103,
MATCH('Income Statement'!$C9,Overall!$A$81:$A$103,0),
MATCH('Income Statement'!D$3,Overall!$A$80:$F$80,0)),"")</f>
        <v/>
      </c>
      <c r="E9" s="16" t="str">
        <f>IFERROR(INDEX(Overall!$A$81:$F$103,
MATCH('Income Statement'!$C9,Overall!$A$81:$A$103,0),
MATCH('Income Statement'!E$3,Overall!$A$80:$F$80,0)),"")</f>
        <v/>
      </c>
      <c r="F9" s="16" t="str">
        <f>IFERROR(INDEX(Overall!$A$81:$F$103,
MATCH('Income Statement'!$C9,Overall!$A$81:$A$103,0),
MATCH('Income Statement'!F$3,Overall!$A$80:$F$80,0)),"")</f>
        <v/>
      </c>
      <c r="G9" s="16" t="str">
        <f>IFERROR(INDEX(Overall!$A$81:$F$103,
MATCH('Income Statement'!$C9,Overall!$A$81:$A$103,0),
MATCH('Income Statement'!G$3,Overall!$A$80:$F$80,0)),"")</f>
        <v/>
      </c>
      <c r="H9" s="49"/>
    </row>
    <row r="10" spans="1:8" x14ac:dyDescent="0.35">
      <c r="A10" t="s">
        <v>44</v>
      </c>
      <c r="B10" t="s">
        <v>45</v>
      </c>
      <c r="C10" s="12" t="s">
        <v>319</v>
      </c>
      <c r="D10" s="16">
        <f>Overall!C90+Overall!C91</f>
        <v>3515143127222</v>
      </c>
      <c r="E10" s="16">
        <f>Overall!D90+Overall!D91</f>
        <v>4018728746686</v>
      </c>
      <c r="F10" s="16">
        <f>Overall!E90+Overall!E91</f>
        <v>5612323377073</v>
      </c>
      <c r="G10" s="16">
        <f>Overall!F90+Overall!F91</f>
        <v>3926038296884</v>
      </c>
      <c r="H10" s="49"/>
    </row>
    <row r="11" spans="1:8" x14ac:dyDescent="0.35">
      <c r="A11" t="s">
        <v>46</v>
      </c>
      <c r="B11" t="s">
        <v>47</v>
      </c>
      <c r="C11">
        <v>0</v>
      </c>
      <c r="D11" s="16" t="str">
        <f>IFERROR(INDEX(Overall!$A$81:$F$103,
MATCH('Income Statement'!$C11,Overall!$A$81:$A$103,0),
MATCH('Income Statement'!D$3,Overall!$A$80:$F$80,0)),"")</f>
        <v/>
      </c>
      <c r="E11" s="16" t="str">
        <f>IFERROR(INDEX(Overall!$A$81:$F$103,
MATCH('Income Statement'!$C11,Overall!$A$81:$A$103,0),
MATCH('Income Statement'!E$3,Overall!$A$80:$F$80,0)),"")</f>
        <v/>
      </c>
      <c r="F11" s="16" t="str">
        <f>IFERROR(INDEX(Overall!$A$81:$F$103,
MATCH('Income Statement'!$C11,Overall!$A$81:$A$103,0),
MATCH('Income Statement'!F$3,Overall!$A$80:$F$80,0)),"")</f>
        <v/>
      </c>
      <c r="G11" s="16" t="str">
        <f>IFERROR(INDEX(Overall!$A$81:$F$103,
MATCH('Income Statement'!$C11,Overall!$A$81:$A$103,0),
MATCH('Income Statement'!G$3,Overall!$A$80:$F$80,0)),"")</f>
        <v/>
      </c>
      <c r="H11" s="49"/>
    </row>
    <row r="12" spans="1:8" x14ac:dyDescent="0.35">
      <c r="A12" t="s">
        <v>48</v>
      </c>
      <c r="B12" t="s">
        <v>14</v>
      </c>
      <c r="C12">
        <v>32</v>
      </c>
      <c r="D12" s="16">
        <f>IFERROR(INDEX(Overall!$A$81:$F$103,
MATCH('Income Statement'!$C12,Overall!$A$81:$A$103,0),
MATCH('Income Statement'!D$3,Overall!$A$80:$F$80,0)),"")</f>
        <v>33582435496</v>
      </c>
      <c r="E12" s="16">
        <f>IFERROR(INDEX(Overall!$A$81:$F$103,
MATCH('Income Statement'!$C12,Overall!$A$81:$A$103,0),
MATCH('Income Statement'!E$3,Overall!$A$80:$F$80,0)),"")</f>
        <v>13131027226</v>
      </c>
      <c r="F12" s="16">
        <f>IFERROR(INDEX(Overall!$A$81:$F$103,
MATCH('Income Statement'!$C12,Overall!$A$81:$A$103,0),
MATCH('Income Statement'!F$3,Overall!$A$80:$F$80,0)),"")</f>
        <v>25904427886</v>
      </c>
      <c r="G12" s="16">
        <f>IFERROR(INDEX(Overall!$A$81:$F$103,
MATCH('Income Statement'!$C12,Overall!$A$81:$A$103,0),
MATCH('Income Statement'!G$3,Overall!$A$80:$F$80,0)),"")</f>
        <v>69530497916</v>
      </c>
      <c r="H12" s="49"/>
    </row>
    <row r="13" spans="1:8" x14ac:dyDescent="0.35">
      <c r="A13" t="s">
        <v>49</v>
      </c>
      <c r="B13" t="s">
        <v>50</v>
      </c>
      <c r="C13" t="s">
        <v>270</v>
      </c>
      <c r="D13" s="16">
        <f>Overall!C90+Overall!C91+Overall!C87</f>
        <v>4186538604301</v>
      </c>
      <c r="E13" s="16">
        <f>Overall!D90+Overall!D91+Overall!D87</f>
        <v>4605441824575</v>
      </c>
      <c r="F13" s="16">
        <f>Overall!E90+Overall!E91+Overall!E87</f>
        <v>6272371122472</v>
      </c>
      <c r="G13" s="16">
        <f>Overall!F90+Overall!F91+Overall!F87</f>
        <v>4309617584854</v>
      </c>
      <c r="H13" s="49"/>
    </row>
    <row r="14" spans="1:8" s="45" customFormat="1" x14ac:dyDescent="0.35">
      <c r="A14" s="5" t="s">
        <v>51</v>
      </c>
      <c r="B14" s="5" t="s">
        <v>52</v>
      </c>
      <c r="C14" s="5">
        <v>30</v>
      </c>
      <c r="D14" s="50">
        <f>IFERROR(INDEX(Overall!$A$81:$F$103,
MATCH('Income Statement'!$C14,Overall!$A$81:$A$103,0),
MATCH('Income Statement'!D$3,Overall!$A$80:$F$80,0)),"")</f>
        <v>18727890017478</v>
      </c>
      <c r="E14" s="50">
        <f>IFERROR(INDEX(Overall!$A$81:$F$103,
MATCH('Income Statement'!$C14,Overall!$A$81:$A$103,0),
MATCH('Income Statement'!E$3,Overall!$A$80:$F$80,0)),"")</f>
        <v>14619122980234</v>
      </c>
      <c r="F14" s="50">
        <f>IFERROR(INDEX(Overall!$A$81:$F$103,
MATCH('Income Statement'!$C14,Overall!$A$81:$A$103,0),
MATCH('Income Statement'!F$3,Overall!$A$80:$F$80,0)),"")</f>
        <v>13156405325870</v>
      </c>
      <c r="G14" s="50">
        <f>IFERROR(INDEX(Overall!$A$81:$F$103,
MATCH('Income Statement'!$C14,Overall!$A$81:$A$103,0),
MATCH('Income Statement'!G$3,Overall!$A$80:$F$80,0)),"")</f>
        <v>14362992025148</v>
      </c>
      <c r="H14" s="49"/>
    </row>
    <row r="15" spans="1:8" s="45" customFormat="1" x14ac:dyDescent="0.35">
      <c r="A15" s="2" t="s">
        <v>53</v>
      </c>
      <c r="B15" s="2" t="s">
        <v>54</v>
      </c>
      <c r="C15" s="2"/>
      <c r="D15" s="16" t="str">
        <f>IFERROR(INDEX(Overall!$A$81:$F$103,
MATCH('Income Statement'!$C15,Overall!$A$81:$A$103,0),
MATCH('Income Statement'!D$3,Overall!$A$80:$F$80,0)),"")</f>
        <v/>
      </c>
      <c r="E15" s="16" t="str">
        <f>IFERROR(INDEX(Overall!$A$81:$F$103,
MATCH('Income Statement'!$C15,Overall!$A$81:$A$103,0),
MATCH('Income Statement'!E$3,Overall!$A$80:$F$80,0)),"")</f>
        <v/>
      </c>
      <c r="F15" s="16" t="str">
        <f>IFERROR(INDEX(Overall!$A$81:$F$103,
MATCH('Income Statement'!$C15,Overall!$A$81:$A$103,0),
MATCH('Income Statement'!F$3,Overall!$A$80:$F$80,0)),"")</f>
        <v/>
      </c>
      <c r="G15" s="16" t="str">
        <f>IFERROR(INDEX(Overall!$A$81:$F$103,
MATCH('Income Statement'!$C15,Overall!$A$81:$A$103,0),
MATCH('Income Statement'!G$3,Overall!$A$80:$F$80,0)),"")</f>
        <v/>
      </c>
      <c r="H15" s="49"/>
    </row>
    <row r="16" spans="1:8" x14ac:dyDescent="0.35">
      <c r="A16" t="s">
        <v>55</v>
      </c>
      <c r="B16" t="s">
        <v>56</v>
      </c>
      <c r="C16">
        <v>40</v>
      </c>
      <c r="D16" s="16">
        <f>IFERROR(INDEX(Overall!$A$81:$F$103,
MATCH('Income Statement'!$C16,Overall!$A$81:$A$103,0),
MATCH('Income Statement'!D$3,Overall!$A$80:$F$80,0)),"")</f>
        <v>78384842910</v>
      </c>
      <c r="E16" s="16">
        <f>IFERROR(INDEX(Overall!$A$81:$F$103,
MATCH('Income Statement'!$C16,Overall!$A$81:$A$103,0),
MATCH('Income Statement'!E$3,Overall!$A$80:$F$80,0)),"")</f>
        <v>20419228976</v>
      </c>
      <c r="F16" s="16">
        <f>IFERROR(INDEX(Overall!$A$81:$F$103,
MATCH('Income Statement'!$C16,Overall!$A$81:$A$103,0),
MATCH('Income Statement'!F$3,Overall!$A$80:$F$80,0)),"")</f>
        <v>15702170505</v>
      </c>
      <c r="G16" s="16">
        <f>IFERROR(INDEX(Overall!$A$81:$F$103,
MATCH('Income Statement'!$C16,Overall!$A$81:$A$103,0),
MATCH('Income Statement'!G$3,Overall!$A$80:$F$80,0)),"")</f>
        <v>-3556841289</v>
      </c>
      <c r="H16" s="49"/>
    </row>
    <row r="17" spans="1:8" x14ac:dyDescent="0.35">
      <c r="A17" t="s">
        <v>57</v>
      </c>
      <c r="B17" t="s">
        <v>58</v>
      </c>
      <c r="C17" t="s">
        <v>271</v>
      </c>
      <c r="D17" s="16">
        <f>Overall!C92+Overall!C88</f>
        <v>19064751040575</v>
      </c>
      <c r="E17" s="16">
        <f>Overall!D92+Overall!D88</f>
        <v>14959099036792</v>
      </c>
      <c r="F17" s="16">
        <f>Overall!E92+Overall!E88</f>
        <v>13475002279245</v>
      </c>
      <c r="G17" s="16">
        <f>Overall!F92+Overall!F88</f>
        <v>14579048349855</v>
      </c>
      <c r="H17" s="49"/>
    </row>
    <row r="18" spans="1:8" x14ac:dyDescent="0.35">
      <c r="A18" t="s">
        <v>59</v>
      </c>
      <c r="B18" t="s">
        <v>60</v>
      </c>
      <c r="C18">
        <v>23</v>
      </c>
      <c r="D18" s="16">
        <f>IFERROR(INDEX(Overall!$A$81:$F$103,
MATCH('Income Statement'!$C18,Overall!$A$81:$A$103,0),
MATCH('Income Statement'!D$3,Overall!$A$80:$F$80,0)),"")</f>
        <v>336861023097</v>
      </c>
      <c r="E18" s="16">
        <f>IFERROR(INDEX(Overall!$A$81:$F$103,
MATCH('Income Statement'!$C18,Overall!$A$81:$A$103,0),
MATCH('Income Statement'!E$3,Overall!$A$80:$F$80,0)),"")</f>
        <v>339976056558</v>
      </c>
      <c r="F18" s="16">
        <f>IFERROR(INDEX(Overall!$A$81:$F$103,
MATCH('Income Statement'!$C18,Overall!$A$81:$A$103,0),
MATCH('Income Statement'!F$3,Overall!$A$80:$F$80,0)),"")</f>
        <v>318596953375</v>
      </c>
      <c r="G18" s="16">
        <f>IFERROR(INDEX(Overall!$A$81:$F$103,
MATCH('Income Statement'!$C18,Overall!$A$81:$A$103,0),
MATCH('Income Statement'!G$3,Overall!$A$80:$F$80,0)),"")</f>
        <v>216056324707</v>
      </c>
      <c r="H18" s="49"/>
    </row>
    <row r="19" spans="1:8" x14ac:dyDescent="0.35">
      <c r="A19" t="s">
        <v>61</v>
      </c>
      <c r="B19" t="s">
        <v>62</v>
      </c>
      <c r="C19">
        <v>50</v>
      </c>
      <c r="D19" s="16">
        <f>IFERROR(INDEX(Overall!$A$81:$F$103,
MATCH('Income Statement'!$C19,Overall!$A$81:$A$103,0),
MATCH('Income Statement'!D$3,Overall!$A$80:$F$80,0)),"")</f>
        <v>18806274860388</v>
      </c>
      <c r="E19" s="16">
        <f>IFERROR(INDEX(Overall!$A$81:$F$103,
MATCH('Income Statement'!$C19,Overall!$A$81:$A$103,0),
MATCH('Income Statement'!E$3,Overall!$A$80:$F$80,0)),"")</f>
        <v>14639542209210</v>
      </c>
      <c r="F19" s="16">
        <f>IFERROR(INDEX(Overall!$A$81:$F$103,
MATCH('Income Statement'!$C19,Overall!$A$81:$A$103,0),
MATCH('Income Statement'!F$3,Overall!$A$80:$F$80,0)),"")</f>
        <v>13172107496375</v>
      </c>
      <c r="G19" s="16">
        <f>IFERROR(INDEX(Overall!$A$81:$F$103,
MATCH('Income Statement'!$C19,Overall!$A$81:$A$103,0),
MATCH('Income Statement'!G$3,Overall!$A$80:$F$80,0)),"")</f>
        <v>14359435183859</v>
      </c>
      <c r="H19" s="49"/>
    </row>
    <row r="20" spans="1:8" x14ac:dyDescent="0.35">
      <c r="A20" t="s">
        <v>63</v>
      </c>
      <c r="B20" t="s">
        <v>64</v>
      </c>
      <c r="C20" t="s">
        <v>272</v>
      </c>
      <c r="D20" s="16">
        <f>Overall!C97+Overall!C98</f>
        <v>3739882570960</v>
      </c>
      <c r="E20" s="16">
        <f>Overall!D97+Overall!D98</f>
        <v>2846446729667</v>
      </c>
      <c r="F20" s="16">
        <f>Overall!E97+Overall!E98</f>
        <v>2581986910865</v>
      </c>
      <c r="G20" s="16">
        <f>Overall!F97+Overall!F98</f>
        <v>2787803957851</v>
      </c>
      <c r="H20" s="49"/>
    </row>
    <row r="21" spans="1:8" x14ac:dyDescent="0.35">
      <c r="A21" t="s">
        <v>65</v>
      </c>
      <c r="B21" t="s">
        <v>66</v>
      </c>
      <c r="C21">
        <v>62</v>
      </c>
      <c r="D21" s="16">
        <f>IFERROR(INDEX(Overall!$A$81:$F$103,
MATCH('Income Statement'!$C21,Overall!$A$81:$A$103,0),
MATCH('Income Statement'!D$3,Overall!$A$80:$F$80,0)),"")</f>
        <v>268075069713</v>
      </c>
      <c r="E21" s="16">
        <f>IFERROR(INDEX(Overall!$A$81:$F$103,
MATCH('Income Statement'!$C21,Overall!$A$81:$A$103,0),
MATCH('Income Statement'!E$3,Overall!$A$80:$F$80,0)),"")</f>
        <v>187064832584</v>
      </c>
      <c r="F21" s="16">
        <f>IFERROR(INDEX(Overall!$A$81:$F$103,
MATCH('Income Statement'!$C21,Overall!$A$81:$A$103,0),
MATCH('Income Statement'!F$3,Overall!$A$80:$F$80,0)),"")</f>
        <v>191750535785</v>
      </c>
      <c r="G21" s="16">
        <f>IFERROR(INDEX(Overall!$A$81:$F$103,
MATCH('Income Statement'!$C21,Overall!$A$81:$A$103,0),
MATCH('Income Statement'!G$3,Overall!$A$80:$F$80,0)),"")</f>
        <v>157291314322</v>
      </c>
      <c r="H21" s="49"/>
    </row>
    <row r="22" spans="1:8" s="45" customFormat="1" x14ac:dyDescent="0.35">
      <c r="A22" s="5" t="s">
        <v>67</v>
      </c>
      <c r="B22" s="5" t="s">
        <v>68</v>
      </c>
      <c r="C22" s="5">
        <v>60</v>
      </c>
      <c r="D22" s="50">
        <f>IFERROR(INDEX(Overall!$A$81:$F$103,
MATCH('Income Statement'!$C22,Overall!$A$81:$A$103,0),
MATCH('Income Statement'!D$3,Overall!$A$80:$F$80,0)),"")</f>
        <v>15066392289428</v>
      </c>
      <c r="E22" s="50">
        <f>IFERROR(INDEX(Overall!$A$81:$F$103,
MATCH('Income Statement'!$C22,Overall!$A$81:$A$103,0),
MATCH('Income Statement'!E$3,Overall!$A$80:$F$80,0)),"")</f>
        <v>11793095479543</v>
      </c>
      <c r="F22" s="50">
        <f>IFERROR(INDEX(Overall!$A$81:$F$103,
MATCH('Income Statement'!$C22,Overall!$A$81:$A$103,0),
MATCH('Income Statement'!F$3,Overall!$A$80:$F$80,0)),"")</f>
        <v>10590120585510</v>
      </c>
      <c r="G22" s="50">
        <f>IFERROR(INDEX(Overall!$A$81:$F$103,
MATCH('Income Statement'!$C22,Overall!$A$81:$A$103,0),
MATCH('Income Statement'!G$3,Overall!$A$80:$F$80,0)),"")</f>
        <v>11571631226008</v>
      </c>
      <c r="H22" s="49"/>
    </row>
    <row r="23" spans="1:8" s="45" customFormat="1" x14ac:dyDescent="0.35">
      <c r="A23" s="2" t="s">
        <v>69</v>
      </c>
      <c r="B23" s="2" t="s">
        <v>70</v>
      </c>
      <c r="C23" s="2"/>
      <c r="D23" s="16" t="str">
        <f>IFERROR(INDEX(Overall!$A$81:$F$103,
MATCH('Income Statement'!$C23,Overall!$A$81:$A$103,0),
MATCH('Income Statement'!D$3,Overall!$A$80:$F$80,0)),"")</f>
        <v/>
      </c>
      <c r="E23" s="16" t="str">
        <f>IFERROR(INDEX(Overall!$A$81:$F$103,
MATCH('Income Statement'!$C23,Overall!$A$81:$A$103,0),
MATCH('Income Statement'!E$3,Overall!$A$80:$F$80,0)),"")</f>
        <v/>
      </c>
      <c r="F23" s="16" t="str">
        <f>IFERROR(INDEX(Overall!$A$81:$F$103,
MATCH('Income Statement'!$C23,Overall!$A$81:$A$103,0),
MATCH('Income Statement'!F$3,Overall!$A$80:$F$80,0)),"")</f>
        <v/>
      </c>
      <c r="G23" s="16" t="str">
        <f>IFERROR(INDEX(Overall!$A$81:$F$103,
MATCH('Income Statement'!$C23,Overall!$A$81:$A$103,0),
MATCH('Income Statement'!G$3,Overall!$A$80:$F$80,0)),"")</f>
        <v/>
      </c>
      <c r="H23" s="49"/>
    </row>
    <row r="24" spans="1:8" x14ac:dyDescent="0.35">
      <c r="A24" t="s">
        <v>71</v>
      </c>
      <c r="B24" t="s">
        <v>72</v>
      </c>
      <c r="C24">
        <v>0</v>
      </c>
      <c r="D24" s="16" t="str">
        <f>IFERROR(INDEX(Overall!$A$81:$F$103,
MATCH('Income Statement'!$C24,Overall!$A$81:$A$103,0),
MATCH('Income Statement'!D$3,Overall!$A$80:$F$80,0)),"")</f>
        <v/>
      </c>
      <c r="E24" s="16" t="str">
        <f>IFERROR(INDEX(Overall!$A$81:$F$103,
MATCH('Income Statement'!$C24,Overall!$A$81:$A$103,0),
MATCH('Income Statement'!E$3,Overall!$A$80:$F$80,0)),"")</f>
        <v/>
      </c>
      <c r="F24" s="16" t="str">
        <f>IFERROR(INDEX(Overall!$A$81:$F$103,
MATCH('Income Statement'!$C24,Overall!$A$81:$A$103,0),
MATCH('Income Statement'!F$3,Overall!$A$80:$F$80,0)),"")</f>
        <v/>
      </c>
      <c r="G24" s="16" t="str">
        <f>IFERROR(INDEX(Overall!$A$81:$F$103,
MATCH('Income Statement'!$C24,Overall!$A$81:$A$103,0),
MATCH('Income Statement'!G$3,Overall!$A$80:$F$80,0)),"")</f>
        <v/>
      </c>
      <c r="H24" s="49"/>
    </row>
    <row r="25" spans="1:8" x14ac:dyDescent="0.35">
      <c r="A25" t="s">
        <v>73</v>
      </c>
      <c r="B25" t="s">
        <v>74</v>
      </c>
      <c r="C25">
        <v>0</v>
      </c>
      <c r="D25" s="16" t="str">
        <f>IFERROR(INDEX(Overall!$A$81:$F$103,
MATCH('Income Statement'!$C25,Overall!$A$81:$A$103,0),
MATCH('Income Statement'!D$3,Overall!$A$80:$F$80,0)),"")</f>
        <v/>
      </c>
      <c r="E25" s="16" t="str">
        <f>IFERROR(INDEX(Overall!$A$81:$F$103,
MATCH('Income Statement'!$C25,Overall!$A$81:$A$103,0),
MATCH('Income Statement'!E$3,Overall!$A$80:$F$80,0)),"")</f>
        <v/>
      </c>
      <c r="F25" s="16" t="str">
        <f>IFERROR(INDEX(Overall!$A$81:$F$103,
MATCH('Income Statement'!$C25,Overall!$A$81:$A$103,0),
MATCH('Income Statement'!F$3,Overall!$A$80:$F$80,0)),"")</f>
        <v/>
      </c>
      <c r="G25" s="16" t="str">
        <f>IFERROR(INDEX(Overall!$A$81:$F$103,
MATCH('Income Statement'!$C25,Overall!$A$81:$A$103,0),
MATCH('Income Statement'!G$3,Overall!$A$80:$F$80,0)),"")</f>
        <v/>
      </c>
      <c r="H25" s="49"/>
    </row>
    <row r="26" spans="1:8" x14ac:dyDescent="0.35">
      <c r="A26" t="s">
        <v>75</v>
      </c>
      <c r="B26" t="s">
        <v>76</v>
      </c>
      <c r="C26">
        <v>0</v>
      </c>
      <c r="D26" s="16" t="str">
        <f>IFERROR(INDEX(Overall!$A$81:$F$103,
MATCH('Income Statement'!$C26,Overall!$A$81:$A$103,0),
MATCH('Income Statement'!D$3,Overall!$A$80:$F$80,0)),"")</f>
        <v/>
      </c>
      <c r="E26" s="16" t="str">
        <f>IFERROR(INDEX(Overall!$A$81:$F$103,
MATCH('Income Statement'!$C26,Overall!$A$81:$A$103,0),
MATCH('Income Statement'!E$3,Overall!$A$80:$F$80,0)),"")</f>
        <v/>
      </c>
      <c r="F26" s="16" t="str">
        <f>IFERROR(INDEX(Overall!$A$81:$F$103,
MATCH('Income Statement'!$C26,Overall!$A$81:$A$103,0),
MATCH('Income Statement'!F$3,Overall!$A$80:$F$80,0)),"")</f>
        <v/>
      </c>
      <c r="G26" s="16" t="str">
        <f>IFERROR(INDEX(Overall!$A$81:$F$103,
MATCH('Income Statement'!$C26,Overall!$A$81:$A$103,0),
MATCH('Income Statement'!G$3,Overall!$A$80:$F$80,0)),"")</f>
        <v/>
      </c>
      <c r="H26" s="49"/>
    </row>
    <row r="27" spans="1:8" x14ac:dyDescent="0.35">
      <c r="A27" t="s">
        <v>77</v>
      </c>
      <c r="B27" t="s">
        <v>78</v>
      </c>
      <c r="C27" t="s">
        <v>273</v>
      </c>
      <c r="D27" s="16">
        <f>Overall!C93+Overall!C94</f>
        <v>145549713902</v>
      </c>
      <c r="E27" s="16">
        <f>Overall!D93+Overall!D94</f>
        <v>46681283428</v>
      </c>
      <c r="F27" s="16">
        <f>Overall!E93+Overall!E94</f>
        <v>67511026277</v>
      </c>
      <c r="G27" s="16">
        <f>Overall!F93+Overall!F94</f>
        <v>135504154543</v>
      </c>
      <c r="H27" s="49"/>
    </row>
    <row r="28" spans="1:8" s="45" customFormat="1" x14ac:dyDescent="0.35">
      <c r="A28" s="2" t="s">
        <v>79</v>
      </c>
      <c r="B28" s="2" t="s">
        <v>80</v>
      </c>
      <c r="C28" s="2">
        <v>60</v>
      </c>
      <c r="D28" s="16">
        <f>IFERROR(INDEX(Overall!$A$81:$F$103,
MATCH('Income Statement'!$C28,Overall!$A$81:$A$103,0),
MATCH('Income Statement'!D$3,Overall!$A$80:$F$80,0)),"")</f>
        <v>15066392289428</v>
      </c>
      <c r="E28" s="16">
        <f>IFERROR(INDEX(Overall!$A$81:$F$103,
MATCH('Income Statement'!$C28,Overall!$A$81:$A$103,0),
MATCH('Income Statement'!E$3,Overall!$A$80:$F$80,0)),"")</f>
        <v>11793095479543</v>
      </c>
      <c r="F28" s="16">
        <f>IFERROR(INDEX(Overall!$A$81:$F$103,
MATCH('Income Statement'!$C28,Overall!$A$81:$A$103,0),
MATCH('Income Statement'!F$3,Overall!$A$80:$F$80,0)),"")</f>
        <v>10590120585510</v>
      </c>
      <c r="G28" s="16">
        <f>IFERROR(INDEX(Overall!$A$81:$F$103,
MATCH('Income Statement'!$C28,Overall!$A$81:$A$103,0),
MATCH('Income Statement'!G$3,Overall!$A$80:$F$80,0)),"")</f>
        <v>11571631226008</v>
      </c>
      <c r="H28" s="49"/>
    </row>
    <row r="29" spans="1:8" x14ac:dyDescent="0.35">
      <c r="A29" t="s">
        <v>81</v>
      </c>
      <c r="B29" t="s">
        <v>82</v>
      </c>
      <c r="C29">
        <v>61</v>
      </c>
      <c r="D29" s="16">
        <f>IFERROR(INDEX(Overall!$A$81:$F$103,
MATCH('Income Statement'!$C29,Overall!$A$81:$A$103,0),
MATCH('Income Statement'!D$3,Overall!$A$80:$F$80,0)),"")</f>
        <v>14798317219715</v>
      </c>
      <c r="E29" s="16">
        <f>IFERROR(INDEX(Overall!$A$81:$F$103,
MATCH('Income Statement'!$C29,Overall!$A$81:$A$103,0),
MATCH('Income Statement'!E$3,Overall!$A$80:$F$80,0)),"")</f>
        <v>11606030646959</v>
      </c>
      <c r="F29" s="16">
        <f>IFERROR(INDEX(Overall!$A$81:$F$103,
MATCH('Income Statement'!$C29,Overall!$A$81:$A$103,0),
MATCH('Income Statement'!F$3,Overall!$A$80:$F$80,0)),"")</f>
        <v>10398370049725</v>
      </c>
      <c r="G29" s="16">
        <f>IFERROR(INDEX(Overall!$A$81:$F$103,
MATCH('Income Statement'!$C29,Overall!$A$81:$A$103,0),
MATCH('Income Statement'!G$3,Overall!$A$80:$F$80,0)),"")</f>
        <v>11414339911686</v>
      </c>
      <c r="H29" s="49"/>
    </row>
    <row r="30" spans="1:8" s="45" customFormat="1" x14ac:dyDescent="0.35">
      <c r="A30" s="5" t="s">
        <v>83</v>
      </c>
      <c r="B30" s="5" t="s">
        <v>84</v>
      </c>
      <c r="C30" s="5"/>
      <c r="D30" s="50" t="str">
        <f>IFERROR(INDEX(Overall!$A$81:$F$103,
MATCH('Income Statement'!$C30,Overall!$A$81:$A$103,0),
MATCH('Income Statement'!D$3,Overall!$A$80:$F$80,0)),"")</f>
        <v/>
      </c>
      <c r="E30" s="50" t="str">
        <f>IFERROR(INDEX(Overall!$A$81:$F$103,
MATCH('Income Statement'!$C30,Overall!$A$81:$A$103,0),
MATCH('Income Statement'!E$3,Overall!$A$80:$F$80,0)),"")</f>
        <v/>
      </c>
      <c r="F30" s="50" t="str">
        <f>IFERROR(INDEX(Overall!$A$81:$F$103,
MATCH('Income Statement'!$C30,Overall!$A$81:$A$103,0),
MATCH('Income Statement'!F$3,Overall!$A$80:$F$80,0)),"")</f>
        <v/>
      </c>
      <c r="G30" s="50" t="str">
        <f>IFERROR(INDEX(Overall!$A$81:$F$103,
MATCH('Income Statement'!$C30,Overall!$A$81:$A$103,0),
MATCH('Income Statement'!G$3,Overall!$A$80:$F$80,0)),"")</f>
        <v/>
      </c>
      <c r="H30" s="49"/>
    </row>
    <row r="31" spans="1:8" x14ac:dyDescent="0.35">
      <c r="A31" t="s">
        <v>85</v>
      </c>
      <c r="B31" t="s">
        <v>86</v>
      </c>
      <c r="D31" s="16" t="str">
        <f>IFERROR(INDEX(Overall!$A$81:$F$103,
MATCH('Income Statement'!$C31,Overall!$A$81:$A$103,0),
MATCH('Income Statement'!D$3,Overall!$A$80:$F$80,0)),"")</f>
        <v/>
      </c>
      <c r="E31" s="16" t="str">
        <f>IFERROR(INDEX(Overall!$A$81:$F$103,
MATCH('Income Statement'!$C31,Overall!$A$81:$A$103,0),
MATCH('Income Statement'!E$3,Overall!$A$80:$F$80,0)),"")</f>
        <v/>
      </c>
      <c r="F31" s="16" t="str">
        <f>IFERROR(INDEX(Overall!$A$81:$F$103,
MATCH('Income Statement'!$C31,Overall!$A$81:$A$103,0),
MATCH('Income Statement'!F$3,Overall!$A$80:$F$80,0)),"")</f>
        <v/>
      </c>
      <c r="G31" s="16" t="str">
        <f>IFERROR(INDEX(Overall!$A$81:$F$103,
MATCH('Income Statement'!$C31,Overall!$A$81:$A$103,0),
MATCH('Income Statement'!G$3,Overall!$A$80:$F$80,0)),"")</f>
        <v/>
      </c>
      <c r="H31" s="49"/>
    </row>
    <row r="32" spans="1:8" x14ac:dyDescent="0.35">
      <c r="A32" t="s">
        <v>87</v>
      </c>
      <c r="B32" t="s">
        <v>88</v>
      </c>
      <c r="D32" s="16" t="str">
        <f>IFERROR(INDEX(Overall!$A$81:$F$103,
MATCH('Income Statement'!$C32,Overall!$A$81:$A$103,0),
MATCH('Income Statement'!D$3,Overall!$A$80:$F$80,0)),"")</f>
        <v/>
      </c>
      <c r="E32" s="16" t="str">
        <f>IFERROR(INDEX(Overall!$A$81:$F$103,
MATCH('Income Statement'!$C32,Overall!$A$81:$A$103,0),
MATCH('Income Statement'!E$3,Overall!$A$80:$F$80,0)),"")</f>
        <v/>
      </c>
      <c r="F32" s="16" t="str">
        <f>IFERROR(INDEX(Overall!$A$81:$F$103,
MATCH('Income Statement'!$C32,Overall!$A$81:$A$103,0),
MATCH('Income Statement'!F$3,Overall!$A$80:$F$80,0)),"")</f>
        <v/>
      </c>
      <c r="G32" s="16" t="str">
        <f>IFERROR(INDEX(Overall!$A$81:$F$103,
MATCH('Income Statement'!$C32,Overall!$A$81:$A$103,0),
MATCH('Income Statement'!G$3,Overall!$A$80:$F$80,0)),"")</f>
        <v/>
      </c>
      <c r="H32" s="49"/>
    </row>
  </sheetData>
  <conditionalFormatting sqref="C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D8FF-6576-4667-96CC-EBCFBEBF3AEC}">
  <dimension ref="A1:H33"/>
  <sheetViews>
    <sheetView showGridLines="0" zoomScale="70" zoomScaleNormal="70" workbookViewId="0">
      <selection activeCell="B15" sqref="B15"/>
    </sheetView>
  </sheetViews>
  <sheetFormatPr defaultRowHeight="14.5" x14ac:dyDescent="0.35"/>
  <cols>
    <col min="1" max="1" width="45.453125" bestFit="1" customWidth="1"/>
    <col min="2" max="2" width="38.54296875" bestFit="1" customWidth="1"/>
    <col min="3" max="3" width="6.90625" bestFit="1" customWidth="1"/>
    <col min="4" max="6" width="22.36328125" bestFit="1" customWidth="1"/>
    <col min="7" max="7" width="19.1796875" bestFit="1" customWidth="1"/>
    <col min="9" max="9" width="2.90625" style="44" bestFit="1" customWidth="1"/>
    <col min="10" max="10" width="46.453125" style="44" bestFit="1" customWidth="1"/>
    <col min="11" max="11" width="5.6328125" style="44" bestFit="1" customWidth="1"/>
    <col min="12" max="12" width="46.7265625" style="44" bestFit="1" customWidth="1"/>
    <col min="13" max="13" width="40.54296875" style="44" bestFit="1" customWidth="1"/>
    <col min="14" max="16384" width="8.7265625" style="44"/>
  </cols>
  <sheetData>
    <row r="1" spans="1:8" ht="18.5" x14ac:dyDescent="0.45">
      <c r="A1" s="46" t="s">
        <v>204</v>
      </c>
      <c r="B1" s="46"/>
      <c r="C1" s="46"/>
      <c r="D1" s="46"/>
      <c r="E1" s="46"/>
      <c r="F1" s="46"/>
      <c r="G1" s="46"/>
    </row>
    <row r="2" spans="1:8" x14ac:dyDescent="0.35">
      <c r="A2" s="55" t="s">
        <v>318</v>
      </c>
      <c r="B2" s="55" t="s">
        <v>275</v>
      </c>
    </row>
    <row r="3" spans="1:8" x14ac:dyDescent="0.35">
      <c r="A3" s="47"/>
      <c r="B3" s="47"/>
      <c r="C3" s="47" t="s">
        <v>0</v>
      </c>
      <c r="D3" s="47">
        <v>2022</v>
      </c>
      <c r="E3" s="47">
        <v>2023</v>
      </c>
      <c r="F3" s="47">
        <v>2024</v>
      </c>
      <c r="G3" s="47">
        <v>2025</v>
      </c>
      <c r="H3" s="44"/>
    </row>
    <row r="4" spans="1:8" s="45" customFormat="1" x14ac:dyDescent="0.35">
      <c r="A4" s="2" t="s">
        <v>79</v>
      </c>
      <c r="B4" s="2" t="s">
        <v>80</v>
      </c>
      <c r="C4" s="2">
        <v>1</v>
      </c>
      <c r="D4" s="19">
        <f>'Income Statement'!D28</f>
        <v>15066392289428</v>
      </c>
      <c r="E4" s="19">
        <f>'Income Statement'!E28</f>
        <v>11793095479543</v>
      </c>
      <c r="F4" s="19">
        <f>'Income Statement'!F28</f>
        <v>10590120585510</v>
      </c>
      <c r="G4" s="19">
        <f>'Income Statement'!G28</f>
        <v>11571631226008</v>
      </c>
      <c r="H4" s="2"/>
    </row>
    <row r="5" spans="1:8" x14ac:dyDescent="0.35">
      <c r="A5" s="4" t="s">
        <v>205</v>
      </c>
      <c r="B5" s="4" t="s">
        <v>163</v>
      </c>
      <c r="C5" s="4"/>
      <c r="D5" s="52" t="str">
        <f>IFERROR(INDEX(Overall!$A$107:$F$136,
MATCH(Cashflow!$C5,Overall!$A$107:$A$136,0),
MATCH(Cashflow!D$3,Overall!$A$106:$F$106,0)),"")</f>
        <v/>
      </c>
      <c r="E5" s="52" t="str">
        <f>IFERROR(INDEX(Overall!$A$107:$F$136,
MATCH(Cashflow!$C5,Overall!$A$107:$A$136,0),
MATCH(Cashflow!E$3,Overall!$A$106:$F$106,0)),"")</f>
        <v/>
      </c>
      <c r="F5" s="52" t="str">
        <f>IFERROR(INDEX(Overall!$A$107:$F$136,
MATCH(Cashflow!$C5,Overall!$A$107:$A$136,0),
MATCH(Cashflow!F$3,Overall!$A$106:$F$106,0)),"")</f>
        <v/>
      </c>
      <c r="G5" s="52" t="str">
        <f>IFERROR(INDEX(Overall!$A$107:$F$136,
MATCH(Cashflow!$C5,Overall!$A$107:$A$136,0),
MATCH(Cashflow!G$3,Overall!$A$106:$F$106,0)),"")</f>
        <v/>
      </c>
      <c r="H5" s="2"/>
    </row>
    <row r="6" spans="1:8" x14ac:dyDescent="0.35">
      <c r="A6" s="4" t="s">
        <v>164</v>
      </c>
      <c r="B6" s="4" t="s">
        <v>165</v>
      </c>
      <c r="C6" s="4">
        <v>2</v>
      </c>
      <c r="D6" s="52">
        <f>IFERROR(INDEX(Overall!$A$107:$F$136,
MATCH(Cashflow!$C6,Overall!$A$107:$A$136,0),
MATCH(Cashflow!D$3,Overall!$A$106:$F$106,0)),"")</f>
        <v>3022954831285</v>
      </c>
      <c r="E6" s="52">
        <f>IFERROR(INDEX(Overall!$A$107:$F$136,
MATCH(Cashflow!$C6,Overall!$A$107:$A$136,0),
MATCH(Cashflow!E$3,Overall!$A$106:$F$106,0)),"")</f>
        <v>3026921230677</v>
      </c>
      <c r="F6" s="52">
        <f>IFERROR(INDEX(Overall!$A$107:$F$136,
MATCH(Cashflow!$C6,Overall!$A$107:$A$136,0),
MATCH(Cashflow!F$3,Overall!$A$106:$F$106,0)),"")</f>
        <v>2727709804035</v>
      </c>
      <c r="G6" s="52">
        <f>IFERROR(INDEX(Overall!$A$107:$F$136,
MATCH(Cashflow!$C6,Overall!$A$107:$A$136,0),
MATCH(Cashflow!G$3,Overall!$A$106:$F$106,0)),"")</f>
        <v>2788367501746</v>
      </c>
      <c r="H6" s="2"/>
    </row>
    <row r="7" spans="1:8" x14ac:dyDescent="0.35">
      <c r="A7" s="4" t="s">
        <v>166</v>
      </c>
      <c r="B7" s="4" t="s">
        <v>167</v>
      </c>
      <c r="C7" s="4"/>
      <c r="D7" s="52" t="str">
        <f>IFERROR(INDEX(Overall!$A$107:$F$136,
MATCH(Cashflow!$C7,Overall!$A$107:$A$136,0),
MATCH(Cashflow!D$3,Overall!$A$106:$F$106,0)),"")</f>
        <v/>
      </c>
      <c r="E7" s="52" t="str">
        <f>IFERROR(INDEX(Overall!$A$107:$F$136,
MATCH(Cashflow!$C7,Overall!$A$107:$A$136,0),
MATCH(Cashflow!E$3,Overall!$A$106:$F$106,0)),"")</f>
        <v/>
      </c>
      <c r="F7" s="52" t="str">
        <f>IFERROR(INDEX(Overall!$A$107:$F$136,
MATCH(Cashflow!$C7,Overall!$A$107:$A$136,0),
MATCH(Cashflow!F$3,Overall!$A$106:$F$106,0)),"")</f>
        <v/>
      </c>
      <c r="G7" s="52" t="str">
        <f>IFERROR(INDEX(Overall!$A$107:$F$136,
MATCH(Cashflow!$C7,Overall!$A$107:$A$136,0),
MATCH(Cashflow!G$3,Overall!$A$106:$F$106,0)),"")</f>
        <v/>
      </c>
      <c r="H7" s="2"/>
    </row>
    <row r="8" spans="1:8" x14ac:dyDescent="0.35">
      <c r="A8" s="4" t="s">
        <v>168</v>
      </c>
      <c r="B8" s="4" t="s">
        <v>169</v>
      </c>
      <c r="C8" s="4">
        <v>9</v>
      </c>
      <c r="D8" s="52">
        <f>IFERROR(INDEX(Overall!$A$107:$F$136,
MATCH(Cashflow!$C8,Overall!$A$107:$A$136,0),
MATCH(Cashflow!D$3,Overall!$A$106:$F$106,0)),"")</f>
        <v>782276386743</v>
      </c>
      <c r="E8" s="52">
        <f>IFERROR(INDEX(Overall!$A$107:$F$136,
MATCH(Cashflow!$C8,Overall!$A$107:$A$136,0),
MATCH(Cashflow!E$3,Overall!$A$106:$F$106,0)),"")</f>
        <v>-550297452099</v>
      </c>
      <c r="F8" s="52">
        <f>IFERROR(INDEX(Overall!$A$107:$F$136,
MATCH(Cashflow!$C8,Overall!$A$107:$A$136,0),
MATCH(Cashflow!F$3,Overall!$A$106:$F$106,0)),"")</f>
        <v>4549384677628</v>
      </c>
      <c r="G8" s="52">
        <f>IFERROR(INDEX(Overall!$A$107:$F$136,
MATCH(Cashflow!$C8,Overall!$A$107:$A$136,0),
MATCH(Cashflow!G$3,Overall!$A$106:$F$106,0)),"")</f>
        <v>-6623511061086</v>
      </c>
      <c r="H8" s="2"/>
    </row>
    <row r="9" spans="1:8" x14ac:dyDescent="0.35">
      <c r="A9" s="4" t="s">
        <v>170</v>
      </c>
      <c r="B9" s="4" t="s">
        <v>171</v>
      </c>
      <c r="C9" s="4">
        <v>11</v>
      </c>
      <c r="D9" s="52">
        <f>IFERROR(INDEX(Overall!$A$107:$F$136,
MATCH(Cashflow!$C9,Overall!$A$107:$A$136,0),
MATCH(Cashflow!D$3,Overall!$A$106:$F$106,0)),"")</f>
        <v>-3677892636800</v>
      </c>
      <c r="E9" s="52">
        <f>IFERROR(INDEX(Overall!$A$107:$F$136,
MATCH(Cashflow!$C9,Overall!$A$107:$A$136,0),
MATCH(Cashflow!E$3,Overall!$A$106:$F$106,0)),"")</f>
        <v>1159357930370</v>
      </c>
      <c r="F9" s="52">
        <f>IFERROR(INDEX(Overall!$A$107:$F$136,
MATCH(Cashflow!$C9,Overall!$A$107:$A$136,0),
MATCH(Cashflow!F$3,Overall!$A$106:$F$106,0)),"")</f>
        <v>930606432959</v>
      </c>
      <c r="G9" s="52">
        <f>IFERROR(INDEX(Overall!$A$107:$F$136,
MATCH(Cashflow!$C9,Overall!$A$107:$A$136,0),
MATCH(Cashflow!G$3,Overall!$A$106:$F$106,0)),"")</f>
        <v>6352615685034</v>
      </c>
      <c r="H9" s="2"/>
    </row>
    <row r="10" spans="1:8" x14ac:dyDescent="0.35">
      <c r="A10" s="4" t="s">
        <v>172</v>
      </c>
      <c r="B10" s="4" t="s">
        <v>173</v>
      </c>
      <c r="C10" s="4">
        <v>10</v>
      </c>
      <c r="D10" s="52">
        <f>IFERROR(INDEX(Overall!$A$107:$F$136,
MATCH(Cashflow!$C10,Overall!$A$107:$A$136,0),
MATCH(Cashflow!D$3,Overall!$A$106:$F$106,0)),"")</f>
        <v>-680659726216</v>
      </c>
      <c r="E10" s="52">
        <f>IFERROR(INDEX(Overall!$A$107:$F$136,
MATCH(Cashflow!$C10,Overall!$A$107:$A$136,0),
MATCH(Cashflow!E$3,Overall!$A$106:$F$106,0)),"")</f>
        <v>115462821548</v>
      </c>
      <c r="F10" s="52">
        <f>IFERROR(INDEX(Overall!$A$107:$F$136,
MATCH(Cashflow!$C10,Overall!$A$107:$A$136,0),
MATCH(Cashflow!F$3,Overall!$A$106:$F$106,0)),"")</f>
        <v>-662132189021</v>
      </c>
      <c r="G10" s="52">
        <f>IFERROR(INDEX(Overall!$A$107:$F$136,
MATCH(Cashflow!$C10,Overall!$A$107:$A$136,0),
MATCH(Cashflow!G$3,Overall!$A$106:$F$106,0)),"")</f>
        <v>144482427857</v>
      </c>
      <c r="H10" s="2"/>
    </row>
    <row r="11" spans="1:8" x14ac:dyDescent="0.35">
      <c r="A11" s="4" t="s">
        <v>174</v>
      </c>
      <c r="B11" s="4" t="s">
        <v>175</v>
      </c>
      <c r="C11" s="4">
        <v>17</v>
      </c>
      <c r="D11" s="52">
        <f>IFERROR(INDEX(Overall!$A$107:$F$136,
MATCH(Cashflow!$C11,Overall!$A$107:$A$136,0),
MATCH(Cashflow!D$3,Overall!$A$106:$F$106,0)),"")</f>
        <v>-545607495656</v>
      </c>
      <c r="E11" s="52">
        <f>IFERROR(INDEX(Overall!$A$107:$F$136,
MATCH(Cashflow!$C11,Overall!$A$107:$A$136,0),
MATCH(Cashflow!E$3,Overall!$A$106:$F$106,0)),"")</f>
        <v>-238889627322</v>
      </c>
      <c r="F11" s="52">
        <f>IFERROR(INDEX(Overall!$A$107:$F$136,
MATCH(Cashflow!$C11,Overall!$A$107:$A$136,0),
MATCH(Cashflow!F$3,Overall!$A$106:$F$106,0)),"")</f>
        <v>-362716748314</v>
      </c>
      <c r="G11" s="52">
        <f>IFERROR(INDEX(Overall!$A$107:$F$136,
MATCH(Cashflow!$C11,Overall!$A$107:$A$136,0),
MATCH(Cashflow!G$3,Overall!$A$106:$F$106,0)),"")</f>
        <v>-348783972396</v>
      </c>
      <c r="H11" s="2"/>
    </row>
    <row r="12" spans="1:8" s="45" customFormat="1" x14ac:dyDescent="0.35">
      <c r="A12" s="5" t="s">
        <v>176</v>
      </c>
      <c r="B12" s="5" t="s">
        <v>177</v>
      </c>
      <c r="C12" s="5">
        <v>20</v>
      </c>
      <c r="D12" s="52">
        <f>IFERROR(INDEX(Overall!$A$107:$F$136,
MATCH(Cashflow!$C12,Overall!$A$107:$A$136,0),
MATCH(Cashflow!D$3,Overall!$A$106:$F$106,0)),"")</f>
        <v>12792070499188</v>
      </c>
      <c r="E12" s="52">
        <f>IFERROR(INDEX(Overall!$A$107:$F$136,
MATCH(Cashflow!$C12,Overall!$A$107:$A$136,0),
MATCH(Cashflow!E$3,Overall!$A$106:$F$106,0)),"")</f>
        <v>13827044652491</v>
      </c>
      <c r="F12" s="52">
        <f>IFERROR(INDEX(Overall!$A$107:$F$136,
MATCH(Cashflow!$C12,Overall!$A$107:$A$136,0),
MATCH(Cashflow!F$3,Overall!$A$106:$F$106,0)),"")</f>
        <v>9035210701364</v>
      </c>
      <c r="G12" s="52">
        <f>IFERROR(INDEX(Overall!$A$107:$F$136,
MATCH(Cashflow!$C12,Overall!$A$107:$A$136,0),
MATCH(Cashflow!G$3,Overall!$A$106:$F$106,0)),"")</f>
        <v>13040237870138</v>
      </c>
      <c r="H12" s="2"/>
    </row>
    <row r="13" spans="1:8" x14ac:dyDescent="0.35">
      <c r="A13" s="7" t="s">
        <v>178</v>
      </c>
      <c r="B13" s="7" t="s">
        <v>179</v>
      </c>
      <c r="C13" s="7"/>
      <c r="D13" s="53" t="str">
        <f>IFERROR(INDEX(Overall!$A$107:$F$136,
MATCH(Cashflow!$C13,Overall!$A$107:$A$136,0),
MATCH(Cashflow!D$3,Overall!$A$106:$F$106,0)),"")</f>
        <v/>
      </c>
      <c r="E13" s="53" t="str">
        <f>IFERROR(INDEX(Overall!$A$107:$F$136,
MATCH(Cashflow!$C13,Overall!$A$107:$A$136,0),
MATCH(Cashflow!E$3,Overall!$A$106:$F$106,0)),"")</f>
        <v/>
      </c>
      <c r="F13" s="53" t="str">
        <f>IFERROR(INDEX(Overall!$A$107:$F$136,
MATCH(Cashflow!$C13,Overall!$A$107:$A$136,0),
MATCH(Cashflow!F$3,Overall!$A$106:$F$106,0)),"")</f>
        <v/>
      </c>
      <c r="G13" s="53" t="str">
        <f>IFERROR(INDEX(Overall!$A$107:$F$136,
MATCH(Cashflow!$C13,Overall!$A$107:$A$136,0),
MATCH(Cashflow!G$3,Overall!$A$106:$F$106,0)),"")</f>
        <v/>
      </c>
      <c r="H13" s="2"/>
    </row>
    <row r="14" spans="1:8" x14ac:dyDescent="0.35">
      <c r="A14" s="7" t="s">
        <v>180</v>
      </c>
      <c r="B14" s="7" t="s">
        <v>181</v>
      </c>
      <c r="C14" s="7">
        <v>21</v>
      </c>
      <c r="D14" s="53">
        <f>IFERROR(INDEX(Overall!$A$107:$F$136,
MATCH(Cashflow!$C14,Overall!$A$107:$A$136,0),
MATCH(Cashflow!D$3,Overall!$A$106:$F$106,0)),"")</f>
        <v>-2009673196429</v>
      </c>
      <c r="E14" s="53">
        <f>IFERROR(INDEX(Overall!$A$107:$F$136,
MATCH(Cashflow!$C14,Overall!$A$107:$A$136,0),
MATCH(Cashflow!E$3,Overall!$A$106:$F$106,0)),"")</f>
        <v>-1841341777865</v>
      </c>
      <c r="F14" s="53">
        <f>IFERROR(INDEX(Overall!$A$107:$F$136,
MATCH(Cashflow!$C14,Overall!$A$107:$A$136,0),
MATCH(Cashflow!F$3,Overall!$A$106:$F$106,0)),"")</f>
        <v>-1925456571752</v>
      </c>
      <c r="G14" s="53">
        <f>IFERROR(INDEX(Overall!$A$107:$F$136,
MATCH(Cashflow!$C14,Overall!$A$107:$A$136,0),
MATCH(Cashflow!G$3,Overall!$A$106:$F$106,0)),"")</f>
        <v>-2314735009692</v>
      </c>
      <c r="H14" s="2"/>
    </row>
    <row r="15" spans="1:8" x14ac:dyDescent="0.35">
      <c r="A15" s="7" t="s">
        <v>182</v>
      </c>
      <c r="B15" s="7" t="s">
        <v>183</v>
      </c>
      <c r="C15" s="7">
        <v>22</v>
      </c>
      <c r="D15" s="53">
        <f>IFERROR(INDEX(Overall!$A$107:$F$136,
MATCH(Cashflow!$C15,Overall!$A$107:$A$136,0),
MATCH(Cashflow!D$3,Overall!$A$106:$F$106,0)),"")</f>
        <v>570658941</v>
      </c>
      <c r="E15" s="53">
        <f>IFERROR(INDEX(Overall!$A$107:$F$136,
MATCH(Cashflow!$C15,Overall!$A$107:$A$136,0),
MATCH(Cashflow!E$3,Overall!$A$106:$F$106,0)),"")</f>
        <v>66000000</v>
      </c>
      <c r="F15" s="53">
        <f>IFERROR(INDEX(Overall!$A$107:$F$136,
MATCH(Cashflow!$C15,Overall!$A$107:$A$136,0),
MATCH(Cashflow!F$3,Overall!$A$106:$F$106,0)),"")</f>
        <v>386025703</v>
      </c>
      <c r="G15" s="53">
        <f>IFERROR(INDEX(Overall!$A$107:$F$136,
MATCH(Cashflow!$C15,Overall!$A$107:$A$136,0),
MATCH(Cashflow!G$3,Overall!$A$106:$F$106,0)),"")</f>
        <v>632543704</v>
      </c>
      <c r="H15" s="2"/>
    </row>
    <row r="16" spans="1:8" x14ac:dyDescent="0.35">
      <c r="A16" s="7" t="s">
        <v>184</v>
      </c>
      <c r="B16" s="7" t="s">
        <v>185</v>
      </c>
      <c r="C16" s="7">
        <v>23</v>
      </c>
      <c r="D16" s="53">
        <f>IFERROR(INDEX(Overall!$A$107:$F$136,
MATCH(Cashflow!$C16,Overall!$A$107:$A$136,0),
MATCH(Cashflow!D$3,Overall!$A$106:$F$106,0)),"")</f>
        <v>-40741761303346</v>
      </c>
      <c r="E16" s="53">
        <f>IFERROR(INDEX(Overall!$A$107:$F$136,
MATCH(Cashflow!$C16,Overall!$A$107:$A$136,0),
MATCH(Cashflow!E$3,Overall!$A$106:$F$106,0)),"")</f>
        <v>-50078274935445</v>
      </c>
      <c r="F16" s="53">
        <f>IFERROR(INDEX(Overall!$A$107:$F$136,
MATCH(Cashflow!$C16,Overall!$A$107:$A$136,0),
MATCH(Cashflow!F$3,Overall!$A$106:$F$106,0)),"")</f>
        <v>-46644494787639</v>
      </c>
      <c r="G16" s="53">
        <f>IFERROR(INDEX(Overall!$A$107:$F$136,
MATCH(Cashflow!$C16,Overall!$A$107:$A$136,0),
MATCH(Cashflow!G$3,Overall!$A$106:$F$106,0)),"")</f>
        <v>-45592159986135</v>
      </c>
      <c r="H16" s="2"/>
    </row>
    <row r="17" spans="1:8" s="45" customFormat="1" x14ac:dyDescent="0.35">
      <c r="A17" s="6" t="s">
        <v>186</v>
      </c>
      <c r="B17" s="6" t="s">
        <v>187</v>
      </c>
      <c r="C17" s="6">
        <v>30</v>
      </c>
      <c r="D17" s="53">
        <f>IFERROR(INDEX(Overall!$A$107:$F$136,
MATCH(Cashflow!$C17,Overall!$A$107:$A$136,0),
MATCH(Cashflow!D$3,Overall!$A$106:$F$106,0)),"")</f>
        <v>265039541155</v>
      </c>
      <c r="E17" s="53">
        <f>IFERROR(INDEX(Overall!$A$107:$F$136,
MATCH(Cashflow!$C17,Overall!$A$107:$A$136,0),
MATCH(Cashflow!E$3,Overall!$A$106:$F$106,0)),"")</f>
        <v>-11248693693022</v>
      </c>
      <c r="F17" s="53">
        <f>IFERROR(INDEX(Overall!$A$107:$F$136,
MATCH(Cashflow!$C17,Overall!$A$107:$A$136,0),
MATCH(Cashflow!F$3,Overall!$A$106:$F$106,0)),"")</f>
        <v>7468309783967</v>
      </c>
      <c r="G17" s="53">
        <f>IFERROR(INDEX(Overall!$A$107:$F$136,
MATCH(Cashflow!$C17,Overall!$A$107:$A$136,0),
MATCH(Cashflow!G$3,Overall!$A$106:$F$106,0)),"")</f>
        <v>-6468619501015</v>
      </c>
      <c r="H17" s="2"/>
    </row>
    <row r="18" spans="1:8" x14ac:dyDescent="0.35">
      <c r="A18" s="8" t="s">
        <v>188</v>
      </c>
      <c r="B18" s="8" t="s">
        <v>189</v>
      </c>
      <c r="C18" s="8"/>
      <c r="D18" s="54" t="str">
        <f>IFERROR(INDEX(Overall!$A$107:$F$136,
MATCH(Cashflow!$C18,Overall!$A$107:$A$136,0),
MATCH(Cashflow!D$3,Overall!$A$106:$F$106,0)),"")</f>
        <v/>
      </c>
      <c r="E18" s="54" t="str">
        <f>IFERROR(INDEX(Overall!$A$107:$F$136,
MATCH(Cashflow!$C18,Overall!$A$107:$A$136,0),
MATCH(Cashflow!E$3,Overall!$A$106:$F$106,0)),"")</f>
        <v/>
      </c>
      <c r="F18" s="54" t="str">
        <f>IFERROR(INDEX(Overall!$A$107:$F$136,
MATCH(Cashflow!$C18,Overall!$A$107:$A$136,0),
MATCH(Cashflow!F$3,Overall!$A$106:$F$106,0)),"")</f>
        <v/>
      </c>
      <c r="G18" s="54" t="str">
        <f>IFERROR(INDEX(Overall!$A$107:$F$136,
MATCH(Cashflow!$C18,Overall!$A$107:$A$136,0),
MATCH(Cashflow!G$3,Overall!$A$106:$F$106,0)),"")</f>
        <v/>
      </c>
      <c r="H18" s="2"/>
    </row>
    <row r="19" spans="1:8" x14ac:dyDescent="0.35">
      <c r="A19" s="8" t="s">
        <v>190</v>
      </c>
      <c r="B19" s="8" t="s">
        <v>191</v>
      </c>
      <c r="C19" s="8">
        <v>36</v>
      </c>
      <c r="D19" s="54">
        <f>IFERROR(INDEX(Overall!$A$107:$F$136,
MATCH(Cashflow!$C19,Overall!$A$107:$A$136,0),
MATCH(Cashflow!D$3,Overall!$A$106:$F$106,0)),"")</f>
        <v>-5882313058641</v>
      </c>
      <c r="E19" s="54">
        <f>IFERROR(INDEX(Overall!$A$107:$F$136,
MATCH(Cashflow!$C19,Overall!$A$107:$A$136,0),
MATCH(Cashflow!E$3,Overall!$A$106:$F$106,0)),"")</f>
        <v>-7119780163201</v>
      </c>
      <c r="F19" s="54">
        <f>IFERROR(INDEX(Overall!$A$107:$F$136,
MATCH(Cashflow!$C19,Overall!$A$107:$A$136,0),
MATCH(Cashflow!F$3,Overall!$A$106:$F$106,0)),"")</f>
        <v>-13872476202356</v>
      </c>
      <c r="G19" s="54">
        <f>IFERROR(INDEX(Overall!$A$107:$F$136,
MATCH(Cashflow!$C19,Overall!$A$107:$A$136,0),
MATCH(Cashflow!G$3,Overall!$A$106:$F$106,0)),"")</f>
        <v>-5011650250256</v>
      </c>
      <c r="H19" s="2"/>
    </row>
    <row r="20" spans="1:8" x14ac:dyDescent="0.35">
      <c r="A20" s="8" t="s">
        <v>192</v>
      </c>
      <c r="B20" s="8" t="s">
        <v>193</v>
      </c>
      <c r="C20" s="8">
        <v>31</v>
      </c>
      <c r="D20" s="54">
        <f>IFERROR(INDEX(Overall!$A$107:$F$136,
MATCH(Cashflow!$C20,Overall!$A$107:$A$136,0),
MATCH(Cashflow!D$3,Overall!$A$106:$F$106,0)),"")</f>
        <v>118345978175</v>
      </c>
      <c r="E20" s="54" t="str">
        <f>IFERROR(INDEX(Overall!$A$107:$F$136,
MATCH(Cashflow!$C20,Overall!$A$107:$A$136,0),
MATCH(Cashflow!E$3,Overall!$A$106:$F$106,0)),"")</f>
        <v>-</v>
      </c>
      <c r="F20" s="54">
        <f>IFERROR(INDEX(Overall!$A$107:$F$136,
MATCH(Cashflow!$C20,Overall!$A$107:$A$136,0),
MATCH(Cashflow!F$3,Overall!$A$106:$F$106,0)),"")</f>
        <v>0</v>
      </c>
      <c r="G20" s="54">
        <f>IFERROR(INDEX(Overall!$A$107:$F$136,
MATCH(Cashflow!$C20,Overall!$A$107:$A$136,0),
MATCH(Cashflow!G$3,Overall!$A$106:$F$106,0)),"")</f>
        <v>0</v>
      </c>
      <c r="H20" s="2"/>
    </row>
    <row r="21" spans="1:8" x14ac:dyDescent="0.35">
      <c r="A21" s="8" t="s">
        <v>194</v>
      </c>
      <c r="B21" s="8" t="s">
        <v>195</v>
      </c>
      <c r="C21" s="8">
        <v>33</v>
      </c>
      <c r="D21" s="54">
        <f>IFERROR(INDEX(Overall!$A$107:$F$136,
MATCH(Cashflow!$C21,Overall!$A$107:$A$136,0),
MATCH(Cashflow!D$3,Overall!$A$106:$F$106,0)),"")</f>
        <v>1325381539466</v>
      </c>
      <c r="E21" s="54">
        <f>IFERROR(INDEX(Overall!$A$107:$F$136,
MATCH(Cashflow!$C21,Overall!$A$107:$A$136,0),
MATCH(Cashflow!E$3,Overall!$A$106:$F$106,0)),"")</f>
        <v>2075745608357</v>
      </c>
      <c r="F21" s="54">
        <f>IFERROR(INDEX(Overall!$A$107:$F$136,
MATCH(Cashflow!$C21,Overall!$A$107:$A$136,0),
MATCH(Cashflow!F$3,Overall!$A$106:$F$106,0)),"")</f>
        <v>1803899835850</v>
      </c>
      <c r="G21" s="54">
        <f>IFERROR(INDEX(Overall!$A$107:$F$136,
MATCH(Cashflow!$C21,Overall!$A$107:$A$136,0),
MATCH(Cashflow!G$3,Overall!$A$106:$F$106,0)),"")</f>
        <v>1108894654657</v>
      </c>
      <c r="H21" s="2"/>
    </row>
    <row r="22" spans="1:8" x14ac:dyDescent="0.35">
      <c r="A22" s="8" t="s">
        <v>196</v>
      </c>
      <c r="B22" s="8" t="s">
        <v>197</v>
      </c>
      <c r="C22" s="8">
        <v>14</v>
      </c>
      <c r="D22" s="54">
        <f>IFERROR(INDEX(Overall!$A$107:$F$136,
MATCH(Cashflow!$C22,Overall!$A$107:$A$136,0),
MATCH(Cashflow!D$3,Overall!$A$106:$F$106,0)),"")</f>
        <v>-537119783618</v>
      </c>
      <c r="E22" s="54">
        <f>IFERROR(INDEX(Overall!$A$107:$F$136,
MATCH(Cashflow!$C22,Overall!$A$107:$A$136,0),
MATCH(Cashflow!E$3,Overall!$A$106:$F$106,0)),"")</f>
        <v>-505230388152</v>
      </c>
      <c r="F22" s="54">
        <f>IFERROR(INDEX(Overall!$A$107:$F$136,
MATCH(Cashflow!$C22,Overall!$A$107:$A$136,0),
MATCH(Cashflow!F$3,Overall!$A$106:$F$106,0)),"")</f>
        <v>-334023151235</v>
      </c>
      <c r="G22" s="54">
        <f>IFERROR(INDEX(Overall!$A$107:$F$136,
MATCH(Cashflow!$C22,Overall!$A$107:$A$136,0),
MATCH(Cashflow!G$3,Overall!$A$106:$F$106,0)),"")</f>
        <v>-220314430825</v>
      </c>
      <c r="H22" s="2"/>
    </row>
    <row r="23" spans="1:8" x14ac:dyDescent="0.35">
      <c r="A23" s="9" t="s">
        <v>198</v>
      </c>
      <c r="B23" s="9" t="s">
        <v>199</v>
      </c>
      <c r="C23" s="8">
        <v>40</v>
      </c>
      <c r="D23" s="54">
        <f>IFERROR(INDEX(Overall!$A$107:$F$136,
MATCH(Cashflow!$C23,Overall!$A$107:$A$136,0),
MATCH(Cashflow!D$3,Overall!$A$106:$F$106,0)),"")</f>
        <v>-7809261232680</v>
      </c>
      <c r="E23" s="54">
        <f>IFERROR(INDEX(Overall!$A$107:$F$136,
MATCH(Cashflow!$C23,Overall!$A$107:$A$136,0),
MATCH(Cashflow!E$3,Overall!$A$106:$F$106,0)),"")</f>
        <v>-7463313353671</v>
      </c>
      <c r="F23" s="54">
        <f>IFERROR(INDEX(Overall!$A$107:$F$136,
MATCH(Cashflow!$C23,Overall!$A$107:$A$136,0),
MATCH(Cashflow!F$3,Overall!$A$106:$F$106,0)),"")</f>
        <v>-16612428236073</v>
      </c>
      <c r="G23" s="54">
        <f>IFERROR(INDEX(Overall!$A$107:$F$136,
MATCH(Cashflow!$C23,Overall!$A$107:$A$136,0),
MATCH(Cashflow!G$3,Overall!$A$106:$F$106,0)),"")</f>
        <v>-5264541765224</v>
      </c>
      <c r="H23" s="2"/>
    </row>
    <row r="24" spans="1:8" x14ac:dyDescent="0.35">
      <c r="A24" t="s">
        <v>200</v>
      </c>
      <c r="B24" t="s">
        <v>201</v>
      </c>
      <c r="C24">
        <v>61</v>
      </c>
      <c r="D24" s="19">
        <f>IFERROR(INDEX(Overall!$A$107:$F$136,
MATCH(Cashflow!$C24,Overall!$A$107:$A$136,0),
MATCH(Cashflow!D$3,Overall!$A$106:$F$106,0)),"")</f>
        <v>1158095442</v>
      </c>
      <c r="E24" s="19">
        <f>IFERROR(INDEX(Overall!$A$107:$F$136,
MATCH(Cashflow!$C24,Overall!$A$107:$A$136,0),
MATCH(Cashflow!E$3,Overall!$A$106:$F$106,0)),"")</f>
        <v>4519948714</v>
      </c>
      <c r="F24" s="19">
        <f>IFERROR(INDEX(Overall!$A$107:$F$136,
MATCH(Cashflow!$C24,Overall!$A$107:$A$136,0),
MATCH(Cashflow!F$3,Overall!$A$106:$F$106,0)),"")</f>
        <v>7995898161</v>
      </c>
      <c r="G24" s="19">
        <f>IFERROR(INDEX(Overall!$A$107:$F$136,
MATCH(Cashflow!$C24,Overall!$A$107:$A$136,0),
MATCH(Cashflow!G$3,Overall!$A$106:$F$106,0)),"")</f>
        <v>1408246718</v>
      </c>
      <c r="H24" s="2"/>
    </row>
    <row r="25" spans="1:8" s="45" customFormat="1" x14ac:dyDescent="0.35">
      <c r="A25" s="2" t="s">
        <v>202</v>
      </c>
      <c r="B25" s="2" t="s">
        <v>203</v>
      </c>
      <c r="C25" s="2">
        <v>50</v>
      </c>
      <c r="D25" s="19">
        <f>IFERROR(INDEX(Overall!$A$107:$F$136,
MATCH(Cashflow!$C25,Overall!$A$107:$A$136,0),
MATCH(Cashflow!D$3,Overall!$A$106:$F$106,0)),"")</f>
        <v>5247848807663</v>
      </c>
      <c r="E25" s="19">
        <f>IFERROR(INDEX(Overall!$A$107:$F$136,
MATCH(Cashflow!$C25,Overall!$A$107:$A$136,0),
MATCH(Cashflow!E$3,Overall!$A$106:$F$106,0)),"")</f>
        <v>-4884962394202</v>
      </c>
      <c r="F25" s="19">
        <f>IFERROR(INDEX(Overall!$A$107:$F$136,
MATCH(Cashflow!$C25,Overall!$A$107:$A$136,0),
MATCH(Cashflow!F$3,Overall!$A$106:$F$106,0)),"")</f>
        <v>-108907750742</v>
      </c>
      <c r="G25" s="19">
        <f>IFERROR(INDEX(Overall!$A$107:$F$136,
MATCH(Cashflow!$C25,Overall!$A$107:$A$136,0),
MATCH(Cashflow!G$3,Overall!$A$106:$F$106,0)),"")</f>
        <v>1307076603899</v>
      </c>
      <c r="H25" s="2"/>
    </row>
    <row r="26" spans="1:8" x14ac:dyDescent="0.35">
      <c r="H26" s="2"/>
    </row>
    <row r="27" spans="1:8" x14ac:dyDescent="0.35">
      <c r="H27" s="2"/>
    </row>
    <row r="28" spans="1:8" x14ac:dyDescent="0.35">
      <c r="H28" s="2"/>
    </row>
    <row r="29" spans="1:8" x14ac:dyDescent="0.35">
      <c r="H29" s="2"/>
    </row>
    <row r="30" spans="1:8" x14ac:dyDescent="0.35">
      <c r="H30" s="2"/>
    </row>
    <row r="31" spans="1:8" x14ac:dyDescent="0.35">
      <c r="H31" s="2"/>
    </row>
    <row r="32" spans="1:8" x14ac:dyDescent="0.35">
      <c r="H32" s="2"/>
    </row>
    <row r="33" spans="8:8" x14ac:dyDescent="0.35">
      <c r="H33" s="2"/>
    </row>
  </sheetData>
  <conditionalFormatting sqref="A4:A1048576 L1:L2 A1 L4:L1048576">
    <cfRule type="duplicateValues" dxfId="1" priority="2"/>
  </conditionalFormatting>
  <conditionalFormatting sqref="C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2064-F635-4EED-9975-6FAB687074BA}">
  <dimension ref="B1:N31"/>
  <sheetViews>
    <sheetView showGridLines="0" tabSelected="1" zoomScale="70" zoomScaleNormal="70" workbookViewId="0">
      <selection activeCell="I12" sqref="I12"/>
    </sheetView>
  </sheetViews>
  <sheetFormatPr defaultRowHeight="15" customHeight="1" x14ac:dyDescent="0.3"/>
  <cols>
    <col min="1" max="1" width="1.54296875" style="60" customWidth="1"/>
    <col min="2" max="2" width="35.90625" style="21" bestFit="1" customWidth="1"/>
    <col min="3" max="3" width="24.6328125" style="21" bestFit="1" customWidth="1"/>
    <col min="4" max="4" width="22.90625" style="21" bestFit="1" customWidth="1"/>
    <col min="5" max="6" width="24.1796875" style="21" bestFit="1" customWidth="1"/>
    <col min="7" max="7" width="24.6328125" style="21" bestFit="1" customWidth="1"/>
    <col min="8" max="8" width="23.7265625" style="21" bestFit="1" customWidth="1"/>
    <col min="9" max="9" width="23.26953125" style="21" bestFit="1" customWidth="1"/>
    <col min="10" max="10" width="24.6328125" style="21" bestFit="1" customWidth="1"/>
    <col min="11" max="11" width="25.36328125" style="21" bestFit="1" customWidth="1"/>
    <col min="12" max="13" width="8.7265625" style="60"/>
    <col min="14" max="14" width="16.1796875" style="60" bestFit="1" customWidth="1"/>
    <col min="15" max="16384" width="8.7265625" style="60"/>
  </cols>
  <sheetData>
    <row r="1" spans="2:14" ht="5" customHeight="1" x14ac:dyDescent="0.3"/>
    <row r="2" spans="2:14" ht="15" customHeight="1" x14ac:dyDescent="0.4">
      <c r="B2" s="59" t="s">
        <v>23</v>
      </c>
      <c r="C2" s="58"/>
      <c r="D2" s="58"/>
      <c r="E2" s="58"/>
      <c r="F2" s="58"/>
      <c r="G2" s="58">
        <v>1</v>
      </c>
      <c r="H2" s="58">
        <v>2</v>
      </c>
      <c r="I2" s="58">
        <v>3</v>
      </c>
      <c r="J2" s="58">
        <v>4</v>
      </c>
      <c r="K2" s="58">
        <v>5</v>
      </c>
    </row>
    <row r="3" spans="2:14" s="61" customFormat="1" ht="15" customHeight="1" x14ac:dyDescent="0.3">
      <c r="B3" s="41"/>
      <c r="C3" s="41">
        <v>2022</v>
      </c>
      <c r="D3" s="41">
        <v>2023</v>
      </c>
      <c r="E3" s="41">
        <v>2024</v>
      </c>
      <c r="F3" s="41">
        <v>2025</v>
      </c>
      <c r="G3" s="41">
        <v>2026</v>
      </c>
      <c r="H3" s="41">
        <v>2027</v>
      </c>
      <c r="I3" s="41">
        <v>2028</v>
      </c>
      <c r="J3" s="41">
        <v>2029</v>
      </c>
      <c r="K3" s="41" t="s">
        <v>317</v>
      </c>
      <c r="M3" s="67"/>
    </row>
    <row r="4" spans="2:14" s="62" customFormat="1" ht="15" customHeight="1" x14ac:dyDescent="0.3">
      <c r="B4" s="20" t="s">
        <v>24</v>
      </c>
      <c r="C4" s="22">
        <f>Cashflow!D12+Cashflow!D14</f>
        <v>10782397302759</v>
      </c>
      <c r="D4" s="22">
        <f>Cashflow!E12+Cashflow!E14</f>
        <v>11985702874626</v>
      </c>
      <c r="E4" s="22">
        <f>Cashflow!F12+Cashflow!F14</f>
        <v>7109754129612</v>
      </c>
      <c r="F4" s="22">
        <f>Cashflow!G12+Cashflow!G14</f>
        <v>10725502860446</v>
      </c>
      <c r="G4" s="31">
        <f>G5*G9</f>
        <v>7718286326322.2393</v>
      </c>
      <c r="H4" s="31">
        <f t="shared" ref="H4:I4" si="0">H5*H9</f>
        <v>8378903507644.0537</v>
      </c>
      <c r="I4" s="31">
        <f t="shared" si="0"/>
        <v>9096063688513.4844</v>
      </c>
      <c r="J4" s="31">
        <f>J5*J9</f>
        <v>9874606450594.8223</v>
      </c>
      <c r="K4" s="31">
        <f>J4*(1+C19)/(C12-C19)</f>
        <v>151073337715325.16</v>
      </c>
      <c r="N4" s="68"/>
    </row>
    <row r="5" spans="2:14" s="56" customFormat="1" ht="15" customHeight="1" x14ac:dyDescent="0.25">
      <c r="B5" s="56" t="s">
        <v>303</v>
      </c>
      <c r="C5" s="24">
        <f>C4/Cashflow!D4</f>
        <v>0.71565887145557372</v>
      </c>
      <c r="D5" s="24">
        <f>D4/Cashflow!E4</f>
        <v>1.0163322170516731</v>
      </c>
      <c r="E5" s="24">
        <f>E4/Cashflow!F4</f>
        <v>0.67135724019422083</v>
      </c>
      <c r="F5" s="24">
        <f>F4/Cashflow!G4</f>
        <v>0.92687907616168486</v>
      </c>
      <c r="G5" s="30">
        <v>0.61441243596083195</v>
      </c>
      <c r="H5" s="30">
        <v>0.61441243596083162</v>
      </c>
      <c r="I5" s="30">
        <v>0.61441243596083162</v>
      </c>
      <c r="J5" s="30">
        <v>0.61441243596083162</v>
      </c>
      <c r="K5" s="63">
        <v>0.61441243596083162</v>
      </c>
    </row>
    <row r="6" spans="2:14" s="56" customFormat="1" ht="15" customHeight="1" x14ac:dyDescent="0.25">
      <c r="B6" s="56" t="s">
        <v>34</v>
      </c>
      <c r="C6" s="25">
        <f>'Income Statement'!D5</f>
        <v>100723549227433</v>
      </c>
      <c r="D6" s="25">
        <f>'Income Statement'!E5</f>
        <v>90014136902542</v>
      </c>
      <c r="E6" s="25">
        <f>'Income Statement'!F5</f>
        <v>103603614927247</v>
      </c>
      <c r="F6" s="25">
        <f>'Income Statement'!G5</f>
        <v>135196548909363</v>
      </c>
      <c r="G6" s="27">
        <v>142000000000000</v>
      </c>
      <c r="H6" s="28">
        <f>G6*(1+H7)</f>
        <v>149145818903396.19</v>
      </c>
      <c r="I6" s="28">
        <f t="shared" ref="I6:J6" si="1">H6*(1+I7)</f>
        <v>156651234481441.22</v>
      </c>
      <c r="J6" s="28">
        <f t="shared" si="1"/>
        <v>164534342598327.38</v>
      </c>
      <c r="K6" s="64"/>
    </row>
    <row r="7" spans="2:14" s="56" customFormat="1" ht="15" customHeight="1" x14ac:dyDescent="0.25">
      <c r="B7" s="56" t="s">
        <v>304</v>
      </c>
      <c r="C7" s="23"/>
      <c r="D7" s="26">
        <f>D6/C6-1</f>
        <v>-0.10632481090106571</v>
      </c>
      <c r="E7" s="26">
        <f t="shared" ref="E7:F7" si="2">E6/D6-1</f>
        <v>0.15097048632947829</v>
      </c>
      <c r="F7" s="26">
        <f t="shared" si="2"/>
        <v>0.30494045988937102</v>
      </c>
      <c r="G7" s="29">
        <f>G6/F6-1</f>
        <v>5.0322668333776077E-2</v>
      </c>
      <c r="H7" s="29">
        <v>5.0322668333776077E-2</v>
      </c>
      <c r="I7" s="29">
        <v>5.0322668333776077E-2</v>
      </c>
      <c r="J7" s="29">
        <v>5.0322668333776077E-2</v>
      </c>
      <c r="K7" s="64"/>
    </row>
    <row r="8" spans="2:14" s="56" customFormat="1" ht="15" customHeight="1" x14ac:dyDescent="0.25">
      <c r="B8" s="56" t="s">
        <v>305</v>
      </c>
      <c r="C8" s="24">
        <f>Cashflow!D4/'Income Statement'!D5</f>
        <v>0.14958162619357468</v>
      </c>
      <c r="D8" s="24">
        <f>Cashflow!E4/'Income Statement'!E5</f>
        <v>0.13101381500009654</v>
      </c>
      <c r="E8" s="24">
        <f>Cashflow!F4/'Income Statement'!F5</f>
        <v>0.10221767447927992</v>
      </c>
      <c r="F8" s="24">
        <f>Cashflow!G4/'Income Statement'!G5</f>
        <v>8.5591173142782861E-2</v>
      </c>
      <c r="G8" s="29">
        <v>8.5591173142782861E-2</v>
      </c>
      <c r="H8" s="29">
        <v>8.5591173142782861E-2</v>
      </c>
      <c r="I8" s="29">
        <v>8.5591173142782861E-2</v>
      </c>
      <c r="J8" s="29">
        <v>8.5591173142782861E-2</v>
      </c>
      <c r="K8" s="65">
        <v>8.5591173142782861E-2</v>
      </c>
    </row>
    <row r="9" spans="2:14" s="56" customFormat="1" ht="15" customHeight="1" x14ac:dyDescent="0.25">
      <c r="B9" s="56" t="s">
        <v>79</v>
      </c>
      <c r="C9" s="25">
        <f>Cashflow!D4</f>
        <v>15066392289428</v>
      </c>
      <c r="D9" s="25">
        <f>Cashflow!E4</f>
        <v>11793095479543</v>
      </c>
      <c r="E9" s="25">
        <f>Cashflow!F4</f>
        <v>10590120585510</v>
      </c>
      <c r="F9" s="25">
        <f>Cashflow!G4</f>
        <v>11571631226008</v>
      </c>
      <c r="G9" s="27">
        <f>F9*(1+G8)</f>
        <v>12562060717817.682</v>
      </c>
      <c r="H9" s="27">
        <f t="shared" ref="H9:K9" si="3">G9*(1+H8)</f>
        <v>13637262231746.564</v>
      </c>
      <c r="I9" s="27">
        <f t="shared" si="3"/>
        <v>14804491504617.516</v>
      </c>
      <c r="J9" s="27">
        <f t="shared" si="3"/>
        <v>16071625300280.09</v>
      </c>
      <c r="K9" s="66">
        <f t="shared" si="3"/>
        <v>17447214564042.291</v>
      </c>
    </row>
    <row r="10" spans="2:14" ht="15" customHeight="1" x14ac:dyDescent="0.3">
      <c r="B10" s="20" t="s">
        <v>25</v>
      </c>
      <c r="C10" s="40"/>
      <c r="D10" s="40"/>
      <c r="E10" s="40"/>
      <c r="F10" s="40"/>
      <c r="G10" s="69">
        <f>(1+$C$12)^G2</f>
        <v>1.0919970741689184</v>
      </c>
      <c r="H10" s="69">
        <f>(1+$C$12)^H2</f>
        <v>1.1924576099934783</v>
      </c>
      <c r="I10" s="69">
        <f>(1+$C$12)^I2</f>
        <v>1.3021602211833396</v>
      </c>
      <c r="J10" s="69">
        <f>(1+$C$12)^J2</f>
        <v>1.4219551516313584</v>
      </c>
      <c r="K10" s="69">
        <f>(1+$C$12)^K2</f>
        <v>1.5527708651808643</v>
      </c>
    </row>
    <row r="11" spans="2:14" ht="15" customHeight="1" x14ac:dyDescent="0.3">
      <c r="B11" s="20" t="s">
        <v>26</v>
      </c>
      <c r="G11" s="31">
        <f>G4/G10</f>
        <v>7068046709004.5664</v>
      </c>
      <c r="H11" s="31">
        <f t="shared" ref="H11:J11" si="4">H4/H10</f>
        <v>7026583953529.2822</v>
      </c>
      <c r="I11" s="31">
        <f t="shared" si="4"/>
        <v>6985364427925.333</v>
      </c>
      <c r="J11" s="31">
        <f t="shared" si="4"/>
        <v>6944386705351.458</v>
      </c>
      <c r="K11" s="31">
        <f>K4/K10</f>
        <v>97292743638468.75</v>
      </c>
    </row>
    <row r="12" spans="2:14" ht="15" customHeight="1" x14ac:dyDescent="0.3">
      <c r="B12" s="20" t="s">
        <v>27</v>
      </c>
      <c r="C12" s="34">
        <f>C17</f>
        <v>9.1997074168918377E-2</v>
      </c>
    </row>
    <row r="13" spans="2:14" s="56" customFormat="1" ht="15" customHeight="1" x14ac:dyDescent="0.25">
      <c r="B13" s="56" t="s">
        <v>59</v>
      </c>
      <c r="C13" s="25">
        <f>'Income Statement'!D18</f>
        <v>336861023097</v>
      </c>
      <c r="D13" s="25">
        <f>'Income Statement'!E18</f>
        <v>339976056558</v>
      </c>
      <c r="E13" s="25">
        <f>'Income Statement'!F18</f>
        <v>318596953375</v>
      </c>
      <c r="F13" s="25">
        <f>'Income Statement'!G18</f>
        <v>216056324707</v>
      </c>
      <c r="G13" s="30"/>
      <c r="H13" s="30"/>
      <c r="I13" s="30"/>
      <c r="J13" s="30"/>
      <c r="K13" s="64"/>
    </row>
    <row r="14" spans="2:14" s="56" customFormat="1" ht="15" customHeight="1" x14ac:dyDescent="0.25">
      <c r="B14" s="56" t="s">
        <v>306</v>
      </c>
      <c r="C14" s="25">
        <f>'Balance Sheet'!D21+'Balance Sheet'!D24</f>
        <v>11979155393610</v>
      </c>
      <c r="D14" s="25">
        <f>'Balance Sheet'!E21+'Balance Sheet'!E24</f>
        <v>10328218147754</v>
      </c>
      <c r="E14" s="25">
        <f>'Balance Sheet'!F21+'Balance Sheet'!F24</f>
        <v>8703520737896</v>
      </c>
      <c r="F14" s="25">
        <f>'Balance Sheet'!G21+'Balance Sheet'!G24</f>
        <v>9567342753935</v>
      </c>
      <c r="G14" s="30"/>
      <c r="H14" s="30"/>
      <c r="I14" s="30"/>
      <c r="J14" s="30"/>
      <c r="K14" s="64"/>
    </row>
    <row r="15" spans="2:14" s="56" customFormat="1" ht="15" customHeight="1" x14ac:dyDescent="0.25">
      <c r="C15" s="26">
        <f>C13/C14</f>
        <v>2.8120598825914774E-2</v>
      </c>
      <c r="D15" s="26">
        <f t="shared" ref="D15:F15" si="5">D13/D14</f>
        <v>3.2917203305967355E-2</v>
      </c>
      <c r="E15" s="26">
        <f t="shared" si="5"/>
        <v>3.660552585206088E-2</v>
      </c>
      <c r="F15" s="26">
        <f t="shared" si="5"/>
        <v>2.2582688868143363E-2</v>
      </c>
      <c r="G15" s="27"/>
      <c r="H15" s="28"/>
      <c r="I15" s="28"/>
      <c r="J15" s="28"/>
      <c r="K15" s="64"/>
    </row>
    <row r="16" spans="2:14" s="56" customFormat="1" ht="25" x14ac:dyDescent="0.25">
      <c r="B16" s="57" t="s">
        <v>307</v>
      </c>
      <c r="C16" s="26">
        <f>'Income Statement'!D20/'Income Statement'!D19</f>
        <v>0.19886354946547033</v>
      </c>
      <c r="D16" s="26">
        <f>'Income Statement'!E20/'Income Statement'!E19</f>
        <v>0.19443550139677518</v>
      </c>
      <c r="E16" s="26">
        <f>'Income Statement'!F20/'Income Statement'!F19</f>
        <v>0.1960192711436321</v>
      </c>
      <c r="F16" s="26">
        <f>'Income Statement'!G20/'Income Statement'!G19</f>
        <v>0.19414440207123779</v>
      </c>
      <c r="G16" s="29"/>
      <c r="H16" s="29"/>
      <c r="I16" s="29"/>
      <c r="J16" s="29"/>
      <c r="K16" s="64"/>
    </row>
    <row r="17" spans="2:11" s="56" customFormat="1" ht="15" customHeight="1" x14ac:dyDescent="0.25">
      <c r="B17" s="56" t="s">
        <v>309</v>
      </c>
      <c r="C17" s="26">
        <f>C15*D30*(1-C16)+D29*C24</f>
        <v>9.1997074168918377E-2</v>
      </c>
      <c r="D17" s="24"/>
      <c r="E17" s="24"/>
      <c r="F17" s="24"/>
      <c r="G17" s="29"/>
      <c r="H17" s="29"/>
      <c r="I17" s="29"/>
      <c r="J17" s="29"/>
      <c r="K17" s="64"/>
    </row>
    <row r="18" spans="2:11" s="56" customFormat="1" ht="15" customHeight="1" x14ac:dyDescent="0.25">
      <c r="B18" s="56" t="s">
        <v>316</v>
      </c>
      <c r="C18" s="25">
        <f>Overall!C56+Overall!C61</f>
        <v>6082959749200</v>
      </c>
      <c r="D18" s="25">
        <f>Overall!D56+Overall!D61</f>
        <v>5875284293892</v>
      </c>
      <c r="E18" s="25">
        <f>Overall!E56+Overall!E61</f>
        <v>3224581855750</v>
      </c>
      <c r="F18" s="25">
        <f>Overall!F56+Overall!F61</f>
        <v>2971690340782</v>
      </c>
      <c r="G18" s="27"/>
      <c r="H18" s="27"/>
      <c r="I18" s="27"/>
      <c r="J18" s="27"/>
      <c r="K18" s="64"/>
    </row>
    <row r="19" spans="2:11" ht="15" customHeight="1" x14ac:dyDescent="0.3">
      <c r="B19" s="20" t="s">
        <v>28</v>
      </c>
      <c r="C19" s="34">
        <v>2.5000000000000001E-2</v>
      </c>
    </row>
    <row r="20" spans="2:11" ht="15" customHeight="1" x14ac:dyDescent="0.3">
      <c r="B20" s="20" t="s">
        <v>29</v>
      </c>
      <c r="C20" s="31">
        <f>SUM(G11:K11)</f>
        <v>125317125434279.39</v>
      </c>
    </row>
    <row r="21" spans="2:11" ht="15" customHeight="1" x14ac:dyDescent="0.3">
      <c r="B21" s="20" t="s">
        <v>30</v>
      </c>
      <c r="C21" s="70">
        <v>2412949756</v>
      </c>
    </row>
    <row r="22" spans="2:11" ht="15" customHeight="1" x14ac:dyDescent="0.3">
      <c r="B22" s="20" t="s">
        <v>31</v>
      </c>
      <c r="C22" s="71">
        <f>C20/C21</f>
        <v>51935.240310192101</v>
      </c>
    </row>
    <row r="23" spans="2:11" ht="15" customHeight="1" x14ac:dyDescent="0.3">
      <c r="B23" s="21" t="s">
        <v>313</v>
      </c>
    </row>
    <row r="24" spans="2:11" ht="15" customHeight="1" x14ac:dyDescent="0.3">
      <c r="B24" s="21" t="s">
        <v>308</v>
      </c>
      <c r="C24" s="34">
        <f>C25+C26*(C27-C25)</f>
        <v>9.432589999999999E-2</v>
      </c>
    </row>
    <row r="25" spans="2:11" ht="15" customHeight="1" x14ac:dyDescent="0.3">
      <c r="B25" s="33" t="s">
        <v>310</v>
      </c>
      <c r="C25" s="32">
        <v>4.3709999999999999E-2</v>
      </c>
    </row>
    <row r="26" spans="2:11" ht="15" customHeight="1" x14ac:dyDescent="0.3">
      <c r="B26" s="33" t="s">
        <v>311</v>
      </c>
      <c r="C26" s="21">
        <v>0.71</v>
      </c>
    </row>
    <row r="27" spans="2:11" ht="15" customHeight="1" x14ac:dyDescent="0.3">
      <c r="B27" s="33" t="s">
        <v>312</v>
      </c>
      <c r="C27" s="32">
        <v>0.115</v>
      </c>
    </row>
    <row r="29" spans="2:11" ht="15" customHeight="1" x14ac:dyDescent="0.3">
      <c r="B29" s="35" t="s">
        <v>314</v>
      </c>
      <c r="C29" s="38">
        <f>181454.07*1000000000</f>
        <v>181454070000000</v>
      </c>
      <c r="D29" s="37">
        <f>C29/$C$31</f>
        <v>0.96756395386375182</v>
      </c>
    </row>
    <row r="30" spans="2:11" ht="15" customHeight="1" x14ac:dyDescent="0.3">
      <c r="B30" s="21" t="s">
        <v>315</v>
      </c>
      <c r="C30" s="39">
        <f>C18</f>
        <v>6082959749200</v>
      </c>
      <c r="D30" s="37">
        <f>C30/$C$31</f>
        <v>3.2436046136248189E-2</v>
      </c>
    </row>
    <row r="31" spans="2:11" ht="15" customHeight="1" x14ac:dyDescent="0.3">
      <c r="C31" s="36">
        <f>C29+C30</f>
        <v>187537029749200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Balance Sheet</vt:lpstr>
      <vt:lpstr>Income Statement</vt:lpstr>
      <vt:lpstr>Cashflow</vt:lpstr>
      <vt:lpstr>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Anh Thư</dc:creator>
  <cp:lastModifiedBy>Nguyễn Ngọc Anh Thư</cp:lastModifiedBy>
  <dcterms:created xsi:type="dcterms:W3CDTF">2026-05-01T13:08:43Z</dcterms:created>
  <dcterms:modified xsi:type="dcterms:W3CDTF">2026-05-08T14:35:37Z</dcterms:modified>
</cp:coreProperties>
</file>